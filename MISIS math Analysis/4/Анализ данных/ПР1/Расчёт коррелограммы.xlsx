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j\Downloads\"/>
    </mc:Choice>
  </mc:AlternateContent>
  <xr:revisionPtr revIDLastSave="0" documentId="13_ncr:1_{56EC8A3A-B571-4AAB-8156-FE58E729756C}" xr6:coauthVersionLast="47" xr6:coauthVersionMax="47" xr10:uidLastSave="{00000000-0000-0000-0000-000000000000}"/>
  <bookViews>
    <workbookView xWindow="-108" yWindow="-108" windowWidth="23256" windowHeight="12456" firstSheet="2" activeTab="12" xr2:uid="{A81F2C6D-3C9B-4AAD-8DDD-62E2FFBE2AA5}"/>
  </bookViews>
  <sheets>
    <sheet name="Лаг1" sheetId="1" r:id="rId1"/>
    <sheet name="Лаг2" sheetId="2" r:id="rId2"/>
    <sheet name="Лаг3" sheetId="3" r:id="rId3"/>
    <sheet name="Лаг4" sheetId="4" r:id="rId4"/>
    <sheet name="Лаг5" sheetId="5" r:id="rId5"/>
    <sheet name="Лаг6" sheetId="6" r:id="rId6"/>
    <sheet name="Лаг7" sheetId="7" r:id="rId7"/>
    <sheet name="Лаг8" sheetId="8" r:id="rId8"/>
    <sheet name="Лаг9" sheetId="9" r:id="rId9"/>
    <sheet name="Лаг10" sheetId="10" r:id="rId10"/>
    <sheet name="Лаг11" sheetId="11" r:id="rId11"/>
    <sheet name="Лаг12" sheetId="12" r:id="rId12"/>
    <sheet name="Коррелограмма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3" l="1"/>
  <c r="M13" i="13"/>
  <c r="M12" i="13"/>
  <c r="M11" i="13"/>
  <c r="M10" i="13"/>
  <c r="M9" i="13"/>
  <c r="M8" i="13"/>
  <c r="M7" i="13"/>
  <c r="M6" i="13"/>
  <c r="M5" i="13"/>
  <c r="M4" i="13"/>
  <c r="M3" i="13"/>
  <c r="M2" i="13"/>
  <c r="C19" i="12"/>
  <c r="C19" i="11"/>
  <c r="C19" i="10"/>
  <c r="C19" i="9"/>
  <c r="C19" i="8"/>
  <c r="C19" i="7"/>
  <c r="E9" i="7" s="1"/>
  <c r="H9" i="7" s="1"/>
  <c r="C19" i="6"/>
  <c r="C19" i="5"/>
  <c r="C19" i="4"/>
  <c r="C19" i="3"/>
  <c r="C19" i="2"/>
  <c r="C19" i="1"/>
  <c r="E11" i="1" s="1"/>
  <c r="H11" i="1" s="1"/>
  <c r="B19" i="12"/>
  <c r="B19" i="11"/>
  <c r="B19" i="10"/>
  <c r="B19" i="9"/>
  <c r="B19" i="8"/>
  <c r="B19" i="7"/>
  <c r="B19" i="6"/>
  <c r="B19" i="5"/>
  <c r="B19" i="4"/>
  <c r="B19" i="3"/>
  <c r="B19" i="2"/>
  <c r="B19" i="1"/>
  <c r="D11" i="1" s="1"/>
  <c r="B18" i="12"/>
  <c r="C18" i="12"/>
  <c r="C15" i="12"/>
  <c r="C16" i="12"/>
  <c r="C17" i="12"/>
  <c r="C14" i="12"/>
  <c r="B17" i="12"/>
  <c r="B18" i="11"/>
  <c r="C18" i="11"/>
  <c r="C14" i="11"/>
  <c r="C15" i="11"/>
  <c r="C16" i="11"/>
  <c r="C17" i="11"/>
  <c r="C13" i="11"/>
  <c r="B17" i="11"/>
  <c r="C18" i="10"/>
  <c r="B18" i="10"/>
  <c r="C13" i="10"/>
  <c r="C14" i="10"/>
  <c r="C15" i="10"/>
  <c r="C16" i="10"/>
  <c r="C17" i="10"/>
  <c r="C12" i="10"/>
  <c r="B17" i="10"/>
  <c r="C18" i="9"/>
  <c r="B18" i="9"/>
  <c r="C12" i="9"/>
  <c r="C13" i="9"/>
  <c r="C14" i="9"/>
  <c r="C15" i="9"/>
  <c r="C16" i="9"/>
  <c r="C17" i="9"/>
  <c r="C11" i="9"/>
  <c r="B17" i="9"/>
  <c r="C18" i="8"/>
  <c r="B18" i="8"/>
  <c r="C11" i="8"/>
  <c r="C12" i="8"/>
  <c r="C13" i="8"/>
  <c r="C14" i="8"/>
  <c r="C15" i="8"/>
  <c r="C16" i="8"/>
  <c r="C17" i="8"/>
  <c r="C10" i="8"/>
  <c r="B17" i="8"/>
  <c r="B18" i="7"/>
  <c r="C18" i="7"/>
  <c r="C10" i="7"/>
  <c r="C11" i="7"/>
  <c r="C12" i="7"/>
  <c r="C13" i="7"/>
  <c r="C14" i="7"/>
  <c r="C15" i="7"/>
  <c r="C16" i="7"/>
  <c r="C17" i="7"/>
  <c r="C9" i="7"/>
  <c r="B17" i="7"/>
  <c r="C18" i="6"/>
  <c r="B18" i="6"/>
  <c r="C9" i="6"/>
  <c r="C10" i="6"/>
  <c r="C11" i="6"/>
  <c r="C12" i="6"/>
  <c r="C13" i="6"/>
  <c r="C14" i="6"/>
  <c r="C15" i="6"/>
  <c r="C16" i="6"/>
  <c r="C17" i="6"/>
  <c r="C8" i="6"/>
  <c r="B17" i="6"/>
  <c r="C18" i="5"/>
  <c r="B18" i="5"/>
  <c r="C8" i="5"/>
  <c r="C9" i="5"/>
  <c r="C10" i="5"/>
  <c r="C11" i="5"/>
  <c r="C12" i="5"/>
  <c r="C13" i="5"/>
  <c r="C14" i="5"/>
  <c r="C15" i="5"/>
  <c r="C16" i="5"/>
  <c r="C17" i="5"/>
  <c r="C7" i="5"/>
  <c r="B17" i="5"/>
  <c r="C7" i="4"/>
  <c r="C8" i="4"/>
  <c r="C9" i="4"/>
  <c r="C10" i="4"/>
  <c r="C11" i="4"/>
  <c r="C12" i="4"/>
  <c r="C13" i="4"/>
  <c r="C14" i="4"/>
  <c r="C15" i="4"/>
  <c r="C16" i="4"/>
  <c r="C17" i="4"/>
  <c r="C6" i="4"/>
  <c r="B18" i="4"/>
  <c r="B17" i="4"/>
  <c r="C18" i="3"/>
  <c r="C6" i="3"/>
  <c r="C7" i="3"/>
  <c r="C8" i="3"/>
  <c r="C9" i="3"/>
  <c r="C10" i="3"/>
  <c r="C11" i="3"/>
  <c r="C12" i="3"/>
  <c r="C13" i="3"/>
  <c r="C14" i="3"/>
  <c r="C15" i="3"/>
  <c r="C16" i="3"/>
  <c r="C17" i="3"/>
  <c r="C5" i="3"/>
  <c r="B18" i="3"/>
  <c r="B17" i="3"/>
  <c r="B18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4" i="2"/>
  <c r="B17" i="2"/>
  <c r="B17" i="1"/>
  <c r="C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3" i="1"/>
  <c r="B18" i="1"/>
  <c r="E15" i="1" l="1"/>
  <c r="H15" i="1" s="1"/>
  <c r="E14" i="1"/>
  <c r="H14" i="1" s="1"/>
  <c r="E13" i="1"/>
  <c r="H13" i="1" s="1"/>
  <c r="E12" i="1"/>
  <c r="H12" i="1" s="1"/>
  <c r="E10" i="1"/>
  <c r="H10" i="1" s="1"/>
  <c r="E9" i="1"/>
  <c r="H9" i="1" s="1"/>
  <c r="E8" i="1"/>
  <c r="H8" i="1" s="1"/>
  <c r="E7" i="1"/>
  <c r="H7" i="1" s="1"/>
  <c r="E3" i="1"/>
  <c r="H3" i="1" s="1"/>
  <c r="E6" i="1"/>
  <c r="H6" i="1" s="1"/>
  <c r="E17" i="1"/>
  <c r="H17" i="1" s="1"/>
  <c r="E5" i="1"/>
  <c r="H5" i="1" s="1"/>
  <c r="E16" i="1"/>
  <c r="H16" i="1" s="1"/>
  <c r="E4" i="1"/>
  <c r="H4" i="1" s="1"/>
  <c r="E17" i="12"/>
  <c r="H17" i="12" s="1"/>
  <c r="E17" i="11"/>
  <c r="H17" i="11" s="1"/>
  <c r="E14" i="11"/>
  <c r="H14" i="11" s="1"/>
  <c r="E15" i="11"/>
  <c r="H15" i="11" s="1"/>
  <c r="E16" i="11"/>
  <c r="H16" i="11" s="1"/>
  <c r="E17" i="10"/>
  <c r="H17" i="10" s="1"/>
  <c r="E15" i="9"/>
  <c r="H15" i="9" s="1"/>
  <c r="E13" i="9"/>
  <c r="H13" i="9" s="1"/>
  <c r="E11" i="9"/>
  <c r="H11" i="9" s="1"/>
  <c r="E16" i="9"/>
  <c r="H16" i="9" s="1"/>
  <c r="E14" i="9"/>
  <c r="H14" i="9" s="1"/>
  <c r="E12" i="9"/>
  <c r="H12" i="9" s="1"/>
  <c r="E17" i="9"/>
  <c r="H17" i="9" s="1"/>
  <c r="D17" i="9"/>
  <c r="D15" i="9"/>
  <c r="D13" i="9"/>
  <c r="D11" i="9"/>
  <c r="D16" i="9"/>
  <c r="D14" i="9"/>
  <c r="D12" i="9"/>
  <c r="E11" i="8"/>
  <c r="H11" i="8" s="1"/>
  <c r="E13" i="8"/>
  <c r="H13" i="8" s="1"/>
  <c r="E15" i="8"/>
  <c r="H15" i="8" s="1"/>
  <c r="D17" i="8"/>
  <c r="E16" i="8"/>
  <c r="H16" i="8" s="1"/>
  <c r="E14" i="8"/>
  <c r="H14" i="8" s="1"/>
  <c r="E12" i="8"/>
  <c r="H12" i="8" s="1"/>
  <c r="E10" i="8"/>
  <c r="H10" i="8" s="1"/>
  <c r="H18" i="8" s="1"/>
  <c r="E17" i="8"/>
  <c r="H17" i="8" s="1"/>
  <c r="D15" i="8"/>
  <c r="D13" i="8"/>
  <c r="D11" i="8"/>
  <c r="D16" i="8"/>
  <c r="D14" i="8"/>
  <c r="D12" i="8"/>
  <c r="D10" i="8"/>
  <c r="E10" i="7"/>
  <c r="H10" i="7" s="1"/>
  <c r="E11" i="7"/>
  <c r="H11" i="7" s="1"/>
  <c r="E12" i="7"/>
  <c r="H12" i="7" s="1"/>
  <c r="E13" i="7"/>
  <c r="H13" i="7" s="1"/>
  <c r="E14" i="7"/>
  <c r="H14" i="7" s="1"/>
  <c r="E15" i="7"/>
  <c r="H15" i="7" s="1"/>
  <c r="E16" i="7"/>
  <c r="H16" i="7" s="1"/>
  <c r="E17" i="7"/>
  <c r="H17" i="7" s="1"/>
  <c r="D17" i="6"/>
  <c r="E17" i="6"/>
  <c r="H17" i="6" s="1"/>
  <c r="D17" i="5"/>
  <c r="G17" i="5" s="1"/>
  <c r="E17" i="5"/>
  <c r="H17" i="5" s="1"/>
  <c r="E9" i="5"/>
  <c r="H9" i="5" s="1"/>
  <c r="E13" i="5"/>
  <c r="H13" i="5" s="1"/>
  <c r="E16" i="5"/>
  <c r="H16" i="5" s="1"/>
  <c r="E7" i="5"/>
  <c r="H7" i="5" s="1"/>
  <c r="D15" i="5"/>
  <c r="D13" i="5"/>
  <c r="D11" i="5"/>
  <c r="D9" i="5"/>
  <c r="D7" i="5"/>
  <c r="D16" i="5"/>
  <c r="D14" i="5"/>
  <c r="D12" i="5"/>
  <c r="D10" i="5"/>
  <c r="D8" i="5"/>
  <c r="E9" i="4"/>
  <c r="H9" i="4" s="1"/>
  <c r="E11" i="4"/>
  <c r="H11" i="4" s="1"/>
  <c r="E7" i="4"/>
  <c r="H7" i="4" s="1"/>
  <c r="E13" i="4"/>
  <c r="H13" i="4" s="1"/>
  <c r="E15" i="4"/>
  <c r="H15" i="4" s="1"/>
  <c r="D17" i="4"/>
  <c r="E14" i="4"/>
  <c r="H14" i="4" s="1"/>
  <c r="E10" i="4"/>
  <c r="H10" i="4" s="1"/>
  <c r="E6" i="4"/>
  <c r="H6" i="4" s="1"/>
  <c r="E16" i="4"/>
  <c r="H16" i="4" s="1"/>
  <c r="E8" i="4"/>
  <c r="H8" i="4" s="1"/>
  <c r="E12" i="4"/>
  <c r="H12" i="4" s="1"/>
  <c r="D13" i="4"/>
  <c r="D9" i="4"/>
  <c r="D7" i="4"/>
  <c r="D15" i="4"/>
  <c r="D11" i="4"/>
  <c r="D16" i="4"/>
  <c r="D14" i="4"/>
  <c r="D12" i="4"/>
  <c r="D10" i="4"/>
  <c r="D8" i="4"/>
  <c r="D6" i="4"/>
  <c r="E17" i="4"/>
  <c r="H17" i="4" s="1"/>
  <c r="C18" i="4"/>
  <c r="E8" i="2"/>
  <c r="H8" i="2" s="1"/>
  <c r="E13" i="3"/>
  <c r="H13" i="3" s="1"/>
  <c r="E7" i="3"/>
  <c r="H7" i="3" s="1"/>
  <c r="E9" i="3"/>
  <c r="H9" i="3" s="1"/>
  <c r="E17" i="3"/>
  <c r="H17" i="3" s="1"/>
  <c r="E16" i="3"/>
  <c r="H16" i="3" s="1"/>
  <c r="E14" i="3"/>
  <c r="H14" i="3" s="1"/>
  <c r="E12" i="3"/>
  <c r="H12" i="3" s="1"/>
  <c r="E10" i="3"/>
  <c r="H10" i="3" s="1"/>
  <c r="E8" i="3"/>
  <c r="H8" i="3" s="1"/>
  <c r="E6" i="3"/>
  <c r="H6" i="3" s="1"/>
  <c r="E11" i="3"/>
  <c r="H11" i="3" s="1"/>
  <c r="E5" i="3"/>
  <c r="H5" i="3" s="1"/>
  <c r="E15" i="3"/>
  <c r="H15" i="3" s="1"/>
  <c r="D15" i="3"/>
  <c r="D13" i="3"/>
  <c r="D11" i="3"/>
  <c r="D9" i="3"/>
  <c r="D7" i="3"/>
  <c r="D5" i="3"/>
  <c r="D17" i="3"/>
  <c r="D16" i="3"/>
  <c r="D14" i="3"/>
  <c r="D12" i="3"/>
  <c r="D10" i="3"/>
  <c r="D8" i="3"/>
  <c r="D6" i="3"/>
  <c r="E10" i="2"/>
  <c r="H10" i="2" s="1"/>
  <c r="E12" i="2"/>
  <c r="H12" i="2" s="1"/>
  <c r="E4" i="2"/>
  <c r="H4" i="2" s="1"/>
  <c r="E16" i="2"/>
  <c r="H16" i="2" s="1"/>
  <c r="E6" i="2"/>
  <c r="H6" i="2" s="1"/>
  <c r="E14" i="2"/>
  <c r="H14" i="2" s="1"/>
  <c r="E11" i="2"/>
  <c r="H11" i="2" s="1"/>
  <c r="E13" i="2"/>
  <c r="H13" i="2" s="1"/>
  <c r="E9" i="2"/>
  <c r="H9" i="2" s="1"/>
  <c r="E7" i="2"/>
  <c r="H7" i="2" s="1"/>
  <c r="E5" i="2"/>
  <c r="H5" i="2" s="1"/>
  <c r="E15" i="2"/>
  <c r="H15" i="2" s="1"/>
  <c r="E17" i="2"/>
  <c r="D15" i="2"/>
  <c r="D13" i="2"/>
  <c r="D11" i="2"/>
  <c r="D9" i="2"/>
  <c r="D7" i="2"/>
  <c r="D5" i="2"/>
  <c r="D16" i="2"/>
  <c r="D14" i="2"/>
  <c r="D12" i="2"/>
  <c r="D10" i="2"/>
  <c r="D8" i="2"/>
  <c r="D6" i="2"/>
  <c r="D4" i="2"/>
  <c r="D17" i="2"/>
  <c r="C18" i="2"/>
  <c r="D13" i="1"/>
  <c r="G13" i="1" s="1"/>
  <c r="D12" i="1"/>
  <c r="G12" i="1" s="1"/>
  <c r="G11" i="1"/>
  <c r="F11" i="1"/>
  <c r="D9" i="1"/>
  <c r="D10" i="1"/>
  <c r="D8" i="1"/>
  <c r="D7" i="1"/>
  <c r="D6" i="1"/>
  <c r="F13" i="1"/>
  <c r="D17" i="1"/>
  <c r="D5" i="1"/>
  <c r="D16" i="1"/>
  <c r="D4" i="1"/>
  <c r="D15" i="1"/>
  <c r="D3" i="1"/>
  <c r="D14" i="1"/>
  <c r="H18" i="1" l="1"/>
  <c r="F17" i="5"/>
  <c r="D15" i="12"/>
  <c r="D16" i="12"/>
  <c r="D14" i="12"/>
  <c r="D17" i="12"/>
  <c r="E16" i="12"/>
  <c r="H16" i="12" s="1"/>
  <c r="E15" i="12"/>
  <c r="H15" i="12" s="1"/>
  <c r="E14" i="12"/>
  <c r="H14" i="12" s="1"/>
  <c r="E13" i="11"/>
  <c r="H13" i="11" s="1"/>
  <c r="H18" i="11" s="1"/>
  <c r="D15" i="11"/>
  <c r="D13" i="11"/>
  <c r="D16" i="11"/>
  <c r="D14" i="11"/>
  <c r="D17" i="11"/>
  <c r="D15" i="10"/>
  <c r="D13" i="10"/>
  <c r="D16" i="10"/>
  <c r="D14" i="10"/>
  <c r="D12" i="10"/>
  <c r="D17" i="10"/>
  <c r="E16" i="10"/>
  <c r="H16" i="10" s="1"/>
  <c r="E15" i="10"/>
  <c r="H15" i="10" s="1"/>
  <c r="E14" i="10"/>
  <c r="H14" i="10" s="1"/>
  <c r="E13" i="10"/>
  <c r="H13" i="10" s="1"/>
  <c r="E12" i="10"/>
  <c r="H12" i="10" s="1"/>
  <c r="F13" i="9"/>
  <c r="G13" i="9"/>
  <c r="F15" i="9"/>
  <c r="G15" i="9"/>
  <c r="G17" i="9"/>
  <c r="F17" i="9"/>
  <c r="H18" i="9"/>
  <c r="F11" i="9"/>
  <c r="G11" i="9"/>
  <c r="G12" i="9"/>
  <c r="F12" i="9"/>
  <c r="G14" i="9"/>
  <c r="F14" i="9"/>
  <c r="G16" i="9"/>
  <c r="F16" i="9"/>
  <c r="F15" i="8"/>
  <c r="G15" i="8"/>
  <c r="G10" i="8"/>
  <c r="F10" i="8"/>
  <c r="F13" i="8"/>
  <c r="G13" i="8"/>
  <c r="G12" i="8"/>
  <c r="F12" i="8"/>
  <c r="G17" i="8"/>
  <c r="F17" i="8"/>
  <c r="G14" i="8"/>
  <c r="F14" i="8"/>
  <c r="G16" i="8"/>
  <c r="F16" i="8"/>
  <c r="F11" i="8"/>
  <c r="G11" i="8"/>
  <c r="H18" i="7"/>
  <c r="D11" i="7"/>
  <c r="D9" i="7"/>
  <c r="D13" i="7"/>
  <c r="D10" i="7"/>
  <c r="D12" i="7"/>
  <c r="D16" i="7"/>
  <c r="D14" i="7"/>
  <c r="D15" i="7"/>
  <c r="D17" i="7"/>
  <c r="G17" i="6"/>
  <c r="F17" i="6"/>
  <c r="E12" i="6"/>
  <c r="H12" i="6" s="1"/>
  <c r="E8" i="6"/>
  <c r="H8" i="6" s="1"/>
  <c r="E15" i="6"/>
  <c r="H15" i="6" s="1"/>
  <c r="E14" i="6"/>
  <c r="H14" i="6" s="1"/>
  <c r="E13" i="6"/>
  <c r="H13" i="6" s="1"/>
  <c r="E11" i="6"/>
  <c r="H11" i="6" s="1"/>
  <c r="E10" i="6"/>
  <c r="H10" i="6" s="1"/>
  <c r="D15" i="6"/>
  <c r="D13" i="6"/>
  <c r="D11" i="6"/>
  <c r="D9" i="6"/>
  <c r="D16" i="6"/>
  <c r="D14" i="6"/>
  <c r="D12" i="6"/>
  <c r="D10" i="6"/>
  <c r="D8" i="6"/>
  <c r="E16" i="6"/>
  <c r="H16" i="6" s="1"/>
  <c r="E9" i="6"/>
  <c r="H9" i="6" s="1"/>
  <c r="E15" i="5"/>
  <c r="H15" i="5" s="1"/>
  <c r="E14" i="5"/>
  <c r="H14" i="5" s="1"/>
  <c r="E12" i="5"/>
  <c r="H12" i="5" s="1"/>
  <c r="E11" i="5"/>
  <c r="H11" i="5" s="1"/>
  <c r="E10" i="5"/>
  <c r="H10" i="5" s="1"/>
  <c r="E8" i="5"/>
  <c r="H8" i="5" s="1"/>
  <c r="H18" i="5" s="1"/>
  <c r="G12" i="5"/>
  <c r="F12" i="5"/>
  <c r="G14" i="5"/>
  <c r="G10" i="5"/>
  <c r="G16" i="5"/>
  <c r="F16" i="5"/>
  <c r="G9" i="5"/>
  <c r="F9" i="5"/>
  <c r="G11" i="5"/>
  <c r="F11" i="5"/>
  <c r="F13" i="5"/>
  <c r="G13" i="5"/>
  <c r="G15" i="5"/>
  <c r="F15" i="5"/>
  <c r="G7" i="5"/>
  <c r="F7" i="5"/>
  <c r="G8" i="5"/>
  <c r="H18" i="4"/>
  <c r="G13" i="4"/>
  <c r="F13" i="4"/>
  <c r="G6" i="4"/>
  <c r="F6" i="4"/>
  <c r="G12" i="4"/>
  <c r="F12" i="4"/>
  <c r="G14" i="4"/>
  <c r="F14" i="4"/>
  <c r="G9" i="4"/>
  <c r="F9" i="4"/>
  <c r="G8" i="4"/>
  <c r="F8" i="4"/>
  <c r="G16" i="4"/>
  <c r="F16" i="4"/>
  <c r="G10" i="4"/>
  <c r="F10" i="4"/>
  <c r="G17" i="4"/>
  <c r="F17" i="4"/>
  <c r="F11" i="4"/>
  <c r="G11" i="4"/>
  <c r="F15" i="4"/>
  <c r="G15" i="4"/>
  <c r="F7" i="4"/>
  <c r="G7" i="4"/>
  <c r="H18" i="3"/>
  <c r="H17" i="2"/>
  <c r="H18" i="2" s="1"/>
  <c r="F17" i="2"/>
  <c r="G14" i="3"/>
  <c r="F14" i="3"/>
  <c r="G17" i="3"/>
  <c r="F17" i="3"/>
  <c r="G9" i="3"/>
  <c r="F9" i="3"/>
  <c r="G12" i="3"/>
  <c r="F12" i="3"/>
  <c r="G16" i="3"/>
  <c r="F16" i="3"/>
  <c r="G5" i="3"/>
  <c r="F5" i="3"/>
  <c r="G7" i="3"/>
  <c r="F7" i="3"/>
  <c r="F11" i="3"/>
  <c r="G11" i="3"/>
  <c r="G13" i="3"/>
  <c r="F13" i="3"/>
  <c r="G8" i="3"/>
  <c r="F8" i="3"/>
  <c r="G6" i="3"/>
  <c r="F6" i="3"/>
  <c r="G15" i="3"/>
  <c r="F15" i="3"/>
  <c r="G10" i="3"/>
  <c r="F10" i="3"/>
  <c r="G4" i="2"/>
  <c r="G18" i="2" s="1"/>
  <c r="F4" i="2"/>
  <c r="G13" i="2"/>
  <c r="F13" i="2"/>
  <c r="G15" i="2"/>
  <c r="F15" i="2"/>
  <c r="G8" i="2"/>
  <c r="F8" i="2"/>
  <c r="G17" i="2"/>
  <c r="G6" i="2"/>
  <c r="F6" i="2"/>
  <c r="G11" i="2"/>
  <c r="F11" i="2"/>
  <c r="G10" i="2"/>
  <c r="F10" i="2"/>
  <c r="G12" i="2"/>
  <c r="F12" i="2"/>
  <c r="G14" i="2"/>
  <c r="F14" i="2"/>
  <c r="G16" i="2"/>
  <c r="F16" i="2"/>
  <c r="G5" i="2"/>
  <c r="F5" i="2"/>
  <c r="G7" i="2"/>
  <c r="F7" i="2"/>
  <c r="G9" i="2"/>
  <c r="F9" i="2"/>
  <c r="F12" i="1"/>
  <c r="G5" i="1"/>
  <c r="F5" i="1"/>
  <c r="F7" i="1"/>
  <c r="G7" i="1"/>
  <c r="F8" i="1"/>
  <c r="G8" i="1"/>
  <c r="G16" i="1"/>
  <c r="F16" i="1"/>
  <c r="F6" i="1"/>
  <c r="G6" i="1"/>
  <c r="G14" i="1"/>
  <c r="F14" i="1"/>
  <c r="F10" i="1"/>
  <c r="G10" i="1"/>
  <c r="G17" i="1"/>
  <c r="F17" i="1"/>
  <c r="F3" i="1"/>
  <c r="G3" i="1"/>
  <c r="G9" i="1"/>
  <c r="F9" i="1"/>
  <c r="G15" i="1"/>
  <c r="F15" i="1"/>
  <c r="G4" i="1"/>
  <c r="F4" i="1"/>
  <c r="F10" i="5" l="1"/>
  <c r="F14" i="5"/>
  <c r="H18" i="12"/>
  <c r="G15" i="12"/>
  <c r="F15" i="12"/>
  <c r="G17" i="12"/>
  <c r="F17" i="12"/>
  <c r="G14" i="12"/>
  <c r="F14" i="12"/>
  <c r="G16" i="12"/>
  <c r="F16" i="12"/>
  <c r="F17" i="11"/>
  <c r="G17" i="11"/>
  <c r="G14" i="11"/>
  <c r="F14" i="11"/>
  <c r="F13" i="11"/>
  <c r="G13" i="11"/>
  <c r="G16" i="11"/>
  <c r="F16" i="11"/>
  <c r="G15" i="11"/>
  <c r="F15" i="11"/>
  <c r="G17" i="10"/>
  <c r="F17" i="10"/>
  <c r="G12" i="10"/>
  <c r="F12" i="10"/>
  <c r="G14" i="10"/>
  <c r="F14" i="10"/>
  <c r="G16" i="10"/>
  <c r="F16" i="10"/>
  <c r="G13" i="10"/>
  <c r="F13" i="10"/>
  <c r="H18" i="10"/>
  <c r="G15" i="10"/>
  <c r="F15" i="10"/>
  <c r="F18" i="9"/>
  <c r="G18" i="9"/>
  <c r="G18" i="8"/>
  <c r="F18" i="8"/>
  <c r="A22" i="8" s="1"/>
  <c r="G17" i="7"/>
  <c r="F17" i="7"/>
  <c r="F15" i="7"/>
  <c r="G15" i="7"/>
  <c r="G16" i="7"/>
  <c r="F16" i="7"/>
  <c r="G14" i="7"/>
  <c r="F14" i="7"/>
  <c r="G12" i="7"/>
  <c r="F12" i="7"/>
  <c r="G10" i="7"/>
  <c r="F10" i="7"/>
  <c r="G13" i="7"/>
  <c r="F13" i="7"/>
  <c r="G9" i="7"/>
  <c r="F9" i="7"/>
  <c r="G11" i="7"/>
  <c r="F11" i="7"/>
  <c r="F13" i="6"/>
  <c r="G13" i="6"/>
  <c r="F15" i="6"/>
  <c r="G15" i="6"/>
  <c r="G12" i="6"/>
  <c r="F12" i="6"/>
  <c r="G10" i="6"/>
  <c r="F10" i="6"/>
  <c r="G14" i="6"/>
  <c r="F14" i="6"/>
  <c r="G8" i="6"/>
  <c r="F8" i="6"/>
  <c r="G16" i="6"/>
  <c r="F16" i="6"/>
  <c r="H18" i="6"/>
  <c r="F9" i="6"/>
  <c r="G9" i="6"/>
  <c r="F11" i="6"/>
  <c r="G11" i="6"/>
  <c r="F8" i="5"/>
  <c r="G18" i="5"/>
  <c r="F18" i="5"/>
  <c r="A22" i="5" s="1"/>
  <c r="F18" i="4"/>
  <c r="G18" i="4"/>
  <c r="F18" i="2"/>
  <c r="A22" i="2" s="1"/>
  <c r="F18" i="1"/>
  <c r="G18" i="3"/>
  <c r="F18" i="3"/>
  <c r="A22" i="3" s="1"/>
  <c r="G18" i="1"/>
  <c r="A22" i="1" l="1"/>
  <c r="F18" i="12"/>
  <c r="G18" i="12"/>
  <c r="G18" i="11"/>
  <c r="F18" i="11"/>
  <c r="F18" i="10"/>
  <c r="G18" i="10"/>
  <c r="A22" i="9"/>
  <c r="G18" i="7"/>
  <c r="F18" i="7"/>
  <c r="A22" i="7" s="1"/>
  <c r="F18" i="6"/>
  <c r="G18" i="6"/>
  <c r="A22" i="4"/>
  <c r="A22" i="12" l="1"/>
  <c r="A22" i="11"/>
  <c r="A22" i="10"/>
  <c r="A22" i="6"/>
</calcChain>
</file>

<file path=xl/sharedStrings.xml><?xml version="1.0" encoding="utf-8"?>
<sst xmlns="http://schemas.openxmlformats.org/spreadsheetml/2006/main" count="70" uniqueCount="13">
  <si>
    <t>Сумма</t>
  </si>
  <si>
    <t>Среднее</t>
  </si>
  <si>
    <t>t</t>
  </si>
  <si>
    <t>yt</t>
  </si>
  <si>
    <t>y t-1</t>
  </si>
  <si>
    <t>y (t)</t>
  </si>
  <si>
    <t>y (t-1)</t>
  </si>
  <si>
    <t>y (t) - у (1)ср</t>
  </si>
  <si>
    <t>y (t-1) - у (2)ср</t>
  </si>
  <si>
    <t>(y (t) - у (1)ср)*(y (t-1) - у (2)ср)</t>
  </si>
  <si>
    <t>(y (t) - у (1)ср)^2</t>
  </si>
  <si>
    <t>(y (t-1) - у (2)ср)^2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</si>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</sst>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v>r авт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Коррелограмма!$M$2:$M$13</c:f>
              <c:numCache>
                <c:formatCode>General</c:formatCode>
                <c:ptCount val="12"/>
                <c:pt idx="0">
                  <c:v>-3.8215809737342905E-3</c:v>
                </c:pt>
                <c:pt idx="1">
                  <c:v>-0.86956177517014699</c:v>
                </c:pt>
                <c:pt idx="2">
                  <c:v>7.8081863641437307E-2</c:v>
                </c:pt>
                <c:pt idx="3">
                  <c:v>0.90366285232395505</c:v>
                </c:pt>
                <c:pt idx="4">
                  <c:v>-6.5205972317663147E-2</c:v>
                </c:pt>
                <c:pt idx="5">
                  <c:v>-0.78180799406461832</c:v>
                </c:pt>
                <c:pt idx="6">
                  <c:v>0.16478635388406596</c:v>
                </c:pt>
                <c:pt idx="7">
                  <c:v>0.8286366166406236</c:v>
                </c:pt>
                <c:pt idx="8">
                  <c:v>-1.7234401313619047E-2</c:v>
                </c:pt>
                <c:pt idx="9">
                  <c:v>-0.66104443331277052</c:v>
                </c:pt>
                <c:pt idx="10">
                  <c:v>0.46685348305398128</c:v>
                </c:pt>
                <c:pt idx="11">
                  <c:v>0.76854801988871413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D-4375-98A2-37E9B6347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033120"/>
        <c:axId val="2089030720"/>
      </c:lineChart>
      <c:catAx>
        <c:axId val="208903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030720"/>
        <c:crosses val="autoZero"/>
        <c:auto val="1"/>
        <c:lblAlgn val="ctr"/>
        <c:lblOffset val="100"/>
        <c:noMultiLvlLbl val="0"/>
      </c:catAx>
      <c:valAx>
        <c:axId val="20890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 </a:t>
                </a:r>
                <a:r>
                  <a:rPr lang="ru-RU"/>
                  <a:t>авт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03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Коррелограмма!$B$2:$B$17</c:f>
              <c:strCache>
                <c:ptCount val="16"/>
                <c:pt idx="0">
                  <c:v>375</c:v>
                </c:pt>
                <c:pt idx="1">
                  <c:v>371</c:v>
                </c:pt>
                <c:pt idx="2">
                  <c:v>869</c:v>
                </c:pt>
                <c:pt idx="3">
                  <c:v>1015</c:v>
                </c:pt>
                <c:pt idx="4">
                  <c:v>357</c:v>
                </c:pt>
                <c:pt idx="5">
                  <c:v>471</c:v>
                </c:pt>
                <c:pt idx="6">
                  <c:v>992</c:v>
                </c:pt>
                <c:pt idx="7">
                  <c:v>1020</c:v>
                </c:pt>
                <c:pt idx="8">
                  <c:v>390</c:v>
                </c:pt>
                <c:pt idx="9">
                  <c:v>355</c:v>
                </c:pt>
                <c:pt idx="10">
                  <c:v>992</c:v>
                </c:pt>
                <c:pt idx="11">
                  <c:v>905</c:v>
                </c:pt>
                <c:pt idx="12">
                  <c:v>461</c:v>
                </c:pt>
                <c:pt idx="13">
                  <c:v>454</c:v>
                </c:pt>
                <c:pt idx="14">
                  <c:v>920</c:v>
                </c:pt>
                <c:pt idx="15">
                  <c:v>552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Коррелограмма!$A$2:$A$17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Коррелограмма!$B$2:$B$17</c:f>
              <c:numCache>
                <c:formatCode>General</c:formatCode>
                <c:ptCount val="16"/>
                <c:pt idx="0">
                  <c:v>375</c:v>
                </c:pt>
                <c:pt idx="1">
                  <c:v>371</c:v>
                </c:pt>
                <c:pt idx="2">
                  <c:v>869</c:v>
                </c:pt>
                <c:pt idx="3">
                  <c:v>1015</c:v>
                </c:pt>
                <c:pt idx="4">
                  <c:v>357</c:v>
                </c:pt>
                <c:pt idx="5">
                  <c:v>471</c:v>
                </c:pt>
                <c:pt idx="6">
                  <c:v>992</c:v>
                </c:pt>
                <c:pt idx="7">
                  <c:v>1020</c:v>
                </c:pt>
                <c:pt idx="8">
                  <c:v>390</c:v>
                </c:pt>
                <c:pt idx="9">
                  <c:v>355</c:v>
                </c:pt>
                <c:pt idx="10">
                  <c:v>992</c:v>
                </c:pt>
                <c:pt idx="11">
                  <c:v>905</c:v>
                </c:pt>
                <c:pt idx="12">
                  <c:v>461</c:v>
                </c:pt>
                <c:pt idx="13">
                  <c:v>454</c:v>
                </c:pt>
                <c:pt idx="14">
                  <c:v>920</c:v>
                </c:pt>
                <c:pt idx="15">
                  <c:v>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2-45D0-8D63-4C2E43414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033120"/>
        <c:axId val="2089030720"/>
      </c:lineChart>
      <c:catAx>
        <c:axId val="208903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030720"/>
        <c:crosses val="autoZero"/>
        <c:auto val="1"/>
        <c:lblAlgn val="ctr"/>
        <c:lblOffset val="100"/>
        <c:noMultiLvlLbl val="0"/>
      </c:catAx>
      <c:valAx>
        <c:axId val="20890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03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0</xdr:row>
      <xdr:rowOff>125730</xdr:rowOff>
    </xdr:from>
    <xdr:to>
      <xdr:col>21</xdr:col>
      <xdr:colOff>152400</xdr:colOff>
      <xdr:row>15</xdr:row>
      <xdr:rowOff>125730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0FB189-8185-D211-DC0C-13873929B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0</xdr:row>
      <xdr:rowOff>167640</xdr:rowOff>
    </xdr:from>
    <xdr:to>
      <xdr:col>10</xdr:col>
      <xdr:colOff>266700</xdr:colOff>
      <xdr:row>15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CF029E2-09A5-4CF4-B255-90B9129B7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ADBA-119E-4B62-AC40-5FCB71E62737}">
  <dimension ref="A1:H22"/>
  <sheetViews>
    <sheetView workbookViewId="0">
      <selection activeCell="N7" sqref="N7"/>
    </sheetView>
  </sheetViews>
  <sheetFormatPr defaultRowHeight="14.4" x14ac:dyDescent="0.3"/>
  <cols>
    <col min="2" max="2" width="9.5546875" bestFit="1" customWidth="1"/>
    <col min="3" max="3" width="9" bestFit="1" customWidth="1"/>
    <col min="4" max="4" width="12.77734375" customWidth="1"/>
    <col min="5" max="5" width="19.21875" customWidth="1"/>
    <col min="6" max="6" width="24.5546875" customWidth="1"/>
    <col min="7" max="7" width="22.88671875" customWidth="1"/>
    <col min="8" max="8" width="21.44140625" customWidth="1"/>
  </cols>
  <sheetData>
    <row r="1" spans="1:8" x14ac:dyDescent="0.3">
      <c r="A1" s="4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</row>
    <row r="2" spans="1:8" x14ac:dyDescent="0.3">
      <c r="A2" s="5">
        <v>1</v>
      </c>
      <c r="B2" s="5">
        <v>375</v>
      </c>
      <c r="C2" s="5"/>
      <c r="D2" s="6"/>
      <c r="E2" s="5"/>
      <c r="F2" s="5"/>
      <c r="G2" s="5"/>
      <c r="H2" s="5"/>
    </row>
    <row r="3" spans="1:8" x14ac:dyDescent="0.3">
      <c r="A3" s="5">
        <v>2</v>
      </c>
      <c r="B3" s="5">
        <v>371</v>
      </c>
      <c r="C3" s="5">
        <f>B2</f>
        <v>375</v>
      </c>
      <c r="D3" s="7">
        <f t="shared" ref="D3:D18" si="0">B3-$B$19</f>
        <v>-328.93333333333328</v>
      </c>
      <c r="E3" s="6">
        <f>C3-$C$19</f>
        <v>-335.5</v>
      </c>
      <c r="F3" s="6">
        <f>D3*E3</f>
        <v>110357.13333333332</v>
      </c>
      <c r="G3" s="6">
        <f>D3*D3</f>
        <v>108197.13777777774</v>
      </c>
      <c r="H3" s="6">
        <f>E3*E3</f>
        <v>112560.25</v>
      </c>
    </row>
    <row r="4" spans="1:8" x14ac:dyDescent="0.3">
      <c r="A4" s="5">
        <v>3</v>
      </c>
      <c r="B4" s="5">
        <v>869</v>
      </c>
      <c r="C4" s="5">
        <f t="shared" ref="C4:C17" si="1">B3</f>
        <v>371</v>
      </c>
      <c r="D4" s="7">
        <f t="shared" si="0"/>
        <v>169.06666666666672</v>
      </c>
      <c r="E4" s="6">
        <f t="shared" ref="E4:E18" si="2">C4-$C$19</f>
        <v>-339.5</v>
      </c>
      <c r="F4" s="6">
        <f t="shared" ref="F4:F18" si="3">D4*E4</f>
        <v>-57398.133333333353</v>
      </c>
      <c r="G4" s="6">
        <f t="shared" ref="G4:G17" si="4">D4*D4</f>
        <v>28583.537777777794</v>
      </c>
      <c r="H4" s="6">
        <f t="shared" ref="H4:H16" si="5">E4*E4</f>
        <v>115260.25</v>
      </c>
    </row>
    <row r="5" spans="1:8" x14ac:dyDescent="0.3">
      <c r="A5" s="5">
        <v>4</v>
      </c>
      <c r="B5" s="5">
        <v>1015</v>
      </c>
      <c r="C5" s="5">
        <f t="shared" si="1"/>
        <v>869</v>
      </c>
      <c r="D5" s="7">
        <f t="shared" si="0"/>
        <v>315.06666666666672</v>
      </c>
      <c r="E5" s="6">
        <f t="shared" si="2"/>
        <v>158.5</v>
      </c>
      <c r="F5" s="6">
        <f t="shared" si="3"/>
        <v>49938.066666666673</v>
      </c>
      <c r="G5" s="6">
        <f t="shared" si="4"/>
        <v>99267.004444444479</v>
      </c>
      <c r="H5" s="6">
        <f t="shared" si="5"/>
        <v>25122.25</v>
      </c>
    </row>
    <row r="6" spans="1:8" x14ac:dyDescent="0.3">
      <c r="A6" s="5">
        <v>5</v>
      </c>
      <c r="B6" s="5">
        <v>357</v>
      </c>
      <c r="C6" s="5">
        <f t="shared" si="1"/>
        <v>1015</v>
      </c>
      <c r="D6" s="7">
        <f t="shared" si="0"/>
        <v>-342.93333333333328</v>
      </c>
      <c r="E6" s="6">
        <f t="shared" si="2"/>
        <v>304.5</v>
      </c>
      <c r="F6" s="6">
        <f t="shared" si="3"/>
        <v>-104423.19999999998</v>
      </c>
      <c r="G6" s="6">
        <f t="shared" si="4"/>
        <v>117603.27111111107</v>
      </c>
      <c r="H6" s="6">
        <f t="shared" si="5"/>
        <v>92720.25</v>
      </c>
    </row>
    <row r="7" spans="1:8" x14ac:dyDescent="0.3">
      <c r="A7" s="5">
        <v>6</v>
      </c>
      <c r="B7" s="5">
        <v>471</v>
      </c>
      <c r="C7" s="5">
        <f t="shared" si="1"/>
        <v>357</v>
      </c>
      <c r="D7" s="7">
        <f t="shared" si="0"/>
        <v>-228.93333333333328</v>
      </c>
      <c r="E7" s="6">
        <f t="shared" si="2"/>
        <v>-353.5</v>
      </c>
      <c r="F7" s="6">
        <f t="shared" si="3"/>
        <v>80927.93333333332</v>
      </c>
      <c r="G7" s="6">
        <f t="shared" si="4"/>
        <v>52410.471111111088</v>
      </c>
      <c r="H7" s="6">
        <f t="shared" si="5"/>
        <v>124962.25</v>
      </c>
    </row>
    <row r="8" spans="1:8" x14ac:dyDescent="0.3">
      <c r="A8" s="5">
        <v>7</v>
      </c>
      <c r="B8" s="5">
        <v>992</v>
      </c>
      <c r="C8" s="5">
        <f t="shared" si="1"/>
        <v>471</v>
      </c>
      <c r="D8" s="7">
        <f t="shared" si="0"/>
        <v>292.06666666666672</v>
      </c>
      <c r="E8" s="6">
        <f t="shared" si="2"/>
        <v>-239.5</v>
      </c>
      <c r="F8" s="6">
        <f t="shared" si="3"/>
        <v>-69949.966666666674</v>
      </c>
      <c r="G8" s="6">
        <f t="shared" si="4"/>
        <v>85302.937777777814</v>
      </c>
      <c r="H8" s="6">
        <f t="shared" si="5"/>
        <v>57360.25</v>
      </c>
    </row>
    <row r="9" spans="1:8" x14ac:dyDescent="0.3">
      <c r="A9" s="5">
        <v>8</v>
      </c>
      <c r="B9" s="5">
        <v>1020</v>
      </c>
      <c r="C9" s="5">
        <f t="shared" si="1"/>
        <v>992</v>
      </c>
      <c r="D9" s="7">
        <f t="shared" si="0"/>
        <v>320.06666666666672</v>
      </c>
      <c r="E9" s="6">
        <f t="shared" si="2"/>
        <v>281.5</v>
      </c>
      <c r="F9" s="6">
        <f t="shared" si="3"/>
        <v>90098.766666666677</v>
      </c>
      <c r="G9" s="6">
        <f t="shared" si="4"/>
        <v>102442.67111111115</v>
      </c>
      <c r="H9" s="6">
        <f t="shared" si="5"/>
        <v>79242.25</v>
      </c>
    </row>
    <row r="10" spans="1:8" x14ac:dyDescent="0.3">
      <c r="A10" s="5">
        <v>9</v>
      </c>
      <c r="B10" s="5">
        <v>390</v>
      </c>
      <c r="C10" s="5">
        <f t="shared" si="1"/>
        <v>1020</v>
      </c>
      <c r="D10" s="7">
        <f t="shared" si="0"/>
        <v>-309.93333333333328</v>
      </c>
      <c r="E10" s="6">
        <f t="shared" si="2"/>
        <v>309.5</v>
      </c>
      <c r="F10" s="6">
        <f t="shared" si="3"/>
        <v>-95924.366666666654</v>
      </c>
      <c r="G10" s="6">
        <f t="shared" si="4"/>
        <v>96058.671111111078</v>
      </c>
      <c r="H10" s="6">
        <f t="shared" si="5"/>
        <v>95790.25</v>
      </c>
    </row>
    <row r="11" spans="1:8" x14ac:dyDescent="0.3">
      <c r="A11" s="5">
        <v>10</v>
      </c>
      <c r="B11" s="5">
        <v>355</v>
      </c>
      <c r="C11" s="5">
        <f t="shared" si="1"/>
        <v>390</v>
      </c>
      <c r="D11" s="7">
        <f t="shared" si="0"/>
        <v>-344.93333333333328</v>
      </c>
      <c r="E11" s="6">
        <f t="shared" si="2"/>
        <v>-320.5</v>
      </c>
      <c r="F11" s="6">
        <f t="shared" si="3"/>
        <v>110551.13333333332</v>
      </c>
      <c r="G11" s="6">
        <f t="shared" si="4"/>
        <v>118979.00444444441</v>
      </c>
      <c r="H11" s="6">
        <f t="shared" si="5"/>
        <v>102720.25</v>
      </c>
    </row>
    <row r="12" spans="1:8" x14ac:dyDescent="0.3">
      <c r="A12" s="5">
        <v>11</v>
      </c>
      <c r="B12" s="5">
        <v>992</v>
      </c>
      <c r="C12" s="5">
        <f t="shared" si="1"/>
        <v>355</v>
      </c>
      <c r="D12" s="7">
        <f t="shared" si="0"/>
        <v>292.06666666666672</v>
      </c>
      <c r="E12" s="6">
        <f t="shared" si="2"/>
        <v>-355.5</v>
      </c>
      <c r="F12" s="6">
        <f t="shared" si="3"/>
        <v>-103829.70000000001</v>
      </c>
      <c r="G12" s="6">
        <f t="shared" si="4"/>
        <v>85302.937777777814</v>
      </c>
      <c r="H12" s="6">
        <f t="shared" si="5"/>
        <v>126380.25</v>
      </c>
    </row>
    <row r="13" spans="1:8" x14ac:dyDescent="0.3">
      <c r="A13" s="5">
        <v>12</v>
      </c>
      <c r="B13" s="5">
        <v>905</v>
      </c>
      <c r="C13" s="5">
        <f t="shared" si="1"/>
        <v>992</v>
      </c>
      <c r="D13" s="7">
        <f t="shared" si="0"/>
        <v>205.06666666666672</v>
      </c>
      <c r="E13" s="6">
        <f t="shared" si="2"/>
        <v>281.5</v>
      </c>
      <c r="F13" s="6">
        <f t="shared" si="3"/>
        <v>57726.266666666685</v>
      </c>
      <c r="G13" s="6">
        <f t="shared" si="4"/>
        <v>42052.337777777801</v>
      </c>
      <c r="H13" s="6">
        <f t="shared" si="5"/>
        <v>79242.25</v>
      </c>
    </row>
    <row r="14" spans="1:8" x14ac:dyDescent="0.3">
      <c r="A14" s="5">
        <v>13</v>
      </c>
      <c r="B14" s="5">
        <v>461</v>
      </c>
      <c r="C14" s="5">
        <f t="shared" si="1"/>
        <v>905</v>
      </c>
      <c r="D14" s="7">
        <f t="shared" si="0"/>
        <v>-238.93333333333328</v>
      </c>
      <c r="E14" s="6">
        <f t="shared" si="2"/>
        <v>194.5</v>
      </c>
      <c r="F14" s="6">
        <f t="shared" si="3"/>
        <v>-46472.533333333326</v>
      </c>
      <c r="G14" s="6">
        <f t="shared" si="4"/>
        <v>57089.137777777752</v>
      </c>
      <c r="H14" s="6">
        <f t="shared" si="5"/>
        <v>37830.25</v>
      </c>
    </row>
    <row r="15" spans="1:8" x14ac:dyDescent="0.3">
      <c r="A15" s="5">
        <v>14</v>
      </c>
      <c r="B15" s="5">
        <v>454</v>
      </c>
      <c r="C15" s="5">
        <f t="shared" si="1"/>
        <v>461</v>
      </c>
      <c r="D15" s="7">
        <f t="shared" si="0"/>
        <v>-245.93333333333328</v>
      </c>
      <c r="E15" s="6">
        <f t="shared" si="2"/>
        <v>-249.5</v>
      </c>
      <c r="F15" s="6">
        <f t="shared" si="3"/>
        <v>61360.366666666654</v>
      </c>
      <c r="G15" s="6">
        <f t="shared" si="4"/>
        <v>60483.204444444418</v>
      </c>
      <c r="H15" s="6">
        <f t="shared" si="5"/>
        <v>62250.25</v>
      </c>
    </row>
    <row r="16" spans="1:8" x14ac:dyDescent="0.3">
      <c r="A16" s="5">
        <v>15</v>
      </c>
      <c r="B16" s="5">
        <v>920</v>
      </c>
      <c r="C16" s="5">
        <f t="shared" si="1"/>
        <v>454</v>
      </c>
      <c r="D16" s="7">
        <f t="shared" si="0"/>
        <v>220.06666666666672</v>
      </c>
      <c r="E16" s="6">
        <f t="shared" si="2"/>
        <v>-256.5</v>
      </c>
      <c r="F16" s="6">
        <f t="shared" si="3"/>
        <v>-56447.100000000013</v>
      </c>
      <c r="G16" s="6">
        <f t="shared" si="4"/>
        <v>48429.337777777801</v>
      </c>
      <c r="H16" s="6">
        <f t="shared" si="5"/>
        <v>65792.25</v>
      </c>
    </row>
    <row r="17" spans="1:8" x14ac:dyDescent="0.3">
      <c r="A17" s="5">
        <v>16</v>
      </c>
      <c r="B17" s="5">
        <f>927-375</f>
        <v>552</v>
      </c>
      <c r="C17" s="5">
        <f t="shared" si="1"/>
        <v>920</v>
      </c>
      <c r="D17" s="7">
        <f t="shared" si="0"/>
        <v>-147.93333333333328</v>
      </c>
      <c r="E17" s="6">
        <f t="shared" si="2"/>
        <v>209.5</v>
      </c>
      <c r="F17" s="6">
        <f t="shared" si="3"/>
        <v>-30992.033333333322</v>
      </c>
      <c r="G17" s="6">
        <f t="shared" si="4"/>
        <v>21884.271111111095</v>
      </c>
      <c r="H17" s="6">
        <f>E17*E17</f>
        <v>43890.25</v>
      </c>
    </row>
    <row r="18" spans="1:8" x14ac:dyDescent="0.3">
      <c r="A18" s="5" t="s">
        <v>0</v>
      </c>
      <c r="B18" s="6">
        <f>SUM(B2:B17)</f>
        <v>10499</v>
      </c>
      <c r="C18" s="6">
        <f>SUM(C3:C17)</f>
        <v>9947</v>
      </c>
      <c r="D18" s="6"/>
      <c r="E18" s="6"/>
      <c r="F18" s="6">
        <f>SUM(F2:F17)</f>
        <v>-4477.3666666666868</v>
      </c>
      <c r="G18" s="6">
        <f t="shared" ref="G18:H18" si="6">SUM(G2:G17)</f>
        <v>1124085.9333333333</v>
      </c>
      <c r="H18" s="6">
        <f t="shared" si="6"/>
        <v>1221123.75</v>
      </c>
    </row>
    <row r="19" spans="1:8" x14ac:dyDescent="0.3">
      <c r="A19" s="5" t="s">
        <v>1</v>
      </c>
      <c r="B19" s="7">
        <f>B18/(COUNT(B2:B17)-1)</f>
        <v>699.93333333333328</v>
      </c>
      <c r="C19" s="7">
        <f>C18/(COUNTA(C2:C17)-1)</f>
        <v>710.5</v>
      </c>
      <c r="D19" s="5"/>
      <c r="E19" s="5"/>
      <c r="F19" s="5"/>
      <c r="G19" s="5"/>
      <c r="H19" s="5"/>
    </row>
    <row r="21" spans="1:8" x14ac:dyDescent="0.3">
      <c r="A21" s="3" t="s">
        <v>12</v>
      </c>
    </row>
    <row r="22" spans="1:8" x14ac:dyDescent="0.3">
      <c r="A22">
        <f>F18/SQRT(G18*H18)</f>
        <v>-3.8215809737342905E-3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4D71-4AD0-4C1D-BF36-060AED1168D3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C4">
        <f>B2</f>
        <v>375</v>
      </c>
      <c r="D4" s="1">
        <f t="shared" ref="D3:D18" si="0">B4-$B$19</f>
        <v>145.85714285714289</v>
      </c>
      <c r="E4" s="2">
        <f t="shared" ref="E4:E18" si="1">C4-$C$19</f>
        <v>-319.38461538461536</v>
      </c>
      <c r="F4" s="2">
        <f t="shared" ref="F4:F17" si="2">D4*E4</f>
        <v>-46584.527472527479</v>
      </c>
      <c r="G4" s="2">
        <f t="shared" ref="G4:H17" si="3">D4*D4</f>
        <v>21274.30612244899</v>
      </c>
      <c r="H4" s="2">
        <f t="shared" si="3"/>
        <v>102006.53254437869</v>
      </c>
    </row>
    <row r="5" spans="1:8" x14ac:dyDescent="0.3">
      <c r="A5">
        <v>4</v>
      </c>
      <c r="B5">
        <v>1015</v>
      </c>
      <c r="C5">
        <f t="shared" ref="C5:C17" si="4">B3</f>
        <v>371</v>
      </c>
      <c r="D5" s="1">
        <f t="shared" si="0"/>
        <v>291.85714285714289</v>
      </c>
      <c r="E5" s="2">
        <f t="shared" si="1"/>
        <v>-323.38461538461536</v>
      </c>
      <c r="F5" s="2">
        <f t="shared" si="2"/>
        <v>-94382.109890109889</v>
      </c>
      <c r="G5" s="2">
        <f t="shared" si="3"/>
        <v>85180.591836734719</v>
      </c>
      <c r="H5" s="2">
        <f t="shared" si="3"/>
        <v>104577.60946745561</v>
      </c>
    </row>
    <row r="6" spans="1:8" x14ac:dyDescent="0.3">
      <c r="A6">
        <v>5</v>
      </c>
      <c r="B6">
        <v>357</v>
      </c>
      <c r="C6">
        <f t="shared" si="4"/>
        <v>869</v>
      </c>
      <c r="D6" s="1">
        <f t="shared" si="0"/>
        <v>-366.14285714285711</v>
      </c>
      <c r="E6" s="2">
        <f t="shared" si="1"/>
        <v>174.61538461538464</v>
      </c>
      <c r="F6" s="2">
        <f t="shared" si="2"/>
        <v>-63934.175824175829</v>
      </c>
      <c r="G6" s="2">
        <f t="shared" si="3"/>
        <v>134060.59183673467</v>
      </c>
      <c r="H6" s="2">
        <f t="shared" si="3"/>
        <v>30490.532544378708</v>
      </c>
    </row>
    <row r="7" spans="1:8" x14ac:dyDescent="0.3">
      <c r="A7">
        <v>6</v>
      </c>
      <c r="B7">
        <v>471</v>
      </c>
      <c r="C7">
        <f t="shared" si="4"/>
        <v>1015</v>
      </c>
      <c r="D7" s="1">
        <f t="shared" si="0"/>
        <v>-252.14285714285711</v>
      </c>
      <c r="E7" s="2">
        <f t="shared" si="1"/>
        <v>320.61538461538464</v>
      </c>
      <c r="F7" s="2">
        <f t="shared" si="2"/>
        <v>-80840.879120879123</v>
      </c>
      <c r="G7" s="2">
        <f t="shared" si="3"/>
        <v>63576.020408163247</v>
      </c>
      <c r="H7" s="2">
        <f t="shared" si="3"/>
        <v>102794.22485207103</v>
      </c>
    </row>
    <row r="8" spans="1:8" x14ac:dyDescent="0.3">
      <c r="A8">
        <v>7</v>
      </c>
      <c r="B8">
        <v>992</v>
      </c>
      <c r="C8">
        <f t="shared" si="4"/>
        <v>357</v>
      </c>
      <c r="D8" s="1">
        <f t="shared" si="0"/>
        <v>268.85714285714289</v>
      </c>
      <c r="E8" s="2">
        <f t="shared" si="1"/>
        <v>-337.38461538461536</v>
      </c>
      <c r="F8" s="2">
        <f t="shared" si="2"/>
        <v>-90708.263736263747</v>
      </c>
      <c r="G8" s="2">
        <f t="shared" si="3"/>
        <v>72284.163265306139</v>
      </c>
      <c r="H8" s="2">
        <f t="shared" si="3"/>
        <v>113828.37869822483</v>
      </c>
    </row>
    <row r="9" spans="1:8" x14ac:dyDescent="0.3">
      <c r="A9">
        <v>8</v>
      </c>
      <c r="B9">
        <v>1020</v>
      </c>
      <c r="C9">
        <f t="shared" si="4"/>
        <v>471</v>
      </c>
      <c r="D9" s="1">
        <f t="shared" si="0"/>
        <v>296.85714285714289</v>
      </c>
      <c r="E9" s="2">
        <f t="shared" si="1"/>
        <v>-223.38461538461536</v>
      </c>
      <c r="F9" s="2">
        <f t="shared" si="2"/>
        <v>-66313.318681318677</v>
      </c>
      <c r="G9" s="2">
        <f t="shared" si="3"/>
        <v>88124.163265306139</v>
      </c>
      <c r="H9" s="2">
        <f t="shared" si="3"/>
        <v>49900.68639053253</v>
      </c>
    </row>
    <row r="10" spans="1:8" x14ac:dyDescent="0.3">
      <c r="A10">
        <v>9</v>
      </c>
      <c r="B10">
        <v>390</v>
      </c>
      <c r="C10">
        <f t="shared" si="4"/>
        <v>992</v>
      </c>
      <c r="D10" s="1">
        <f t="shared" si="0"/>
        <v>-333.14285714285711</v>
      </c>
      <c r="E10" s="2">
        <f t="shared" si="1"/>
        <v>297.61538461538464</v>
      </c>
      <c r="F10" s="2">
        <f t="shared" si="2"/>
        <v>-99148.439560439554</v>
      </c>
      <c r="G10" s="2">
        <f t="shared" si="3"/>
        <v>110984.1632653061</v>
      </c>
      <c r="H10" s="2">
        <f t="shared" si="3"/>
        <v>88574.917159763325</v>
      </c>
    </row>
    <row r="11" spans="1:8" x14ac:dyDescent="0.3">
      <c r="A11">
        <v>10</v>
      </c>
      <c r="B11">
        <v>355</v>
      </c>
      <c r="C11">
        <f t="shared" si="4"/>
        <v>1020</v>
      </c>
      <c r="D11" s="1">
        <f t="shared" si="0"/>
        <v>-368.14285714285711</v>
      </c>
      <c r="E11" s="2">
        <f t="shared" si="1"/>
        <v>325.61538461538464</v>
      </c>
      <c r="F11" s="2">
        <f t="shared" si="2"/>
        <v>-119872.97802197802</v>
      </c>
      <c r="G11" s="2">
        <f t="shared" si="3"/>
        <v>135529.1632653061</v>
      </c>
      <c r="H11" s="2">
        <f t="shared" si="3"/>
        <v>106025.37869822487</v>
      </c>
    </row>
    <row r="12" spans="1:8" x14ac:dyDescent="0.3">
      <c r="A12">
        <v>11</v>
      </c>
      <c r="B12">
        <v>992</v>
      </c>
      <c r="C12">
        <f t="shared" si="4"/>
        <v>390</v>
      </c>
      <c r="D12" s="1">
        <f t="shared" si="0"/>
        <v>268.85714285714289</v>
      </c>
      <c r="E12" s="2">
        <f t="shared" si="1"/>
        <v>-304.38461538461536</v>
      </c>
      <c r="F12" s="2">
        <f t="shared" si="2"/>
        <v>-81835.978021978022</v>
      </c>
      <c r="G12" s="2">
        <f t="shared" si="3"/>
        <v>72284.163265306139</v>
      </c>
      <c r="H12" s="2">
        <f t="shared" si="3"/>
        <v>92649.994082840218</v>
      </c>
    </row>
    <row r="13" spans="1:8" x14ac:dyDescent="0.3">
      <c r="A13">
        <v>12</v>
      </c>
      <c r="B13">
        <v>905</v>
      </c>
      <c r="C13">
        <f t="shared" si="4"/>
        <v>355</v>
      </c>
      <c r="D13" s="1">
        <f t="shared" si="0"/>
        <v>181.85714285714289</v>
      </c>
      <c r="E13" s="2">
        <f t="shared" si="1"/>
        <v>-339.38461538461536</v>
      </c>
      <c r="F13" s="2">
        <f t="shared" si="2"/>
        <v>-61719.516483516491</v>
      </c>
      <c r="G13" s="2">
        <f t="shared" si="3"/>
        <v>33072.020408163276</v>
      </c>
      <c r="H13" s="2">
        <f t="shared" si="3"/>
        <v>115181.9171597633</v>
      </c>
    </row>
    <row r="14" spans="1:8" x14ac:dyDescent="0.3">
      <c r="A14">
        <v>13</v>
      </c>
      <c r="B14">
        <v>461</v>
      </c>
      <c r="C14">
        <f t="shared" si="4"/>
        <v>992</v>
      </c>
      <c r="D14" s="1">
        <f t="shared" si="0"/>
        <v>-262.14285714285711</v>
      </c>
      <c r="E14" s="2">
        <f t="shared" si="1"/>
        <v>297.61538461538464</v>
      </c>
      <c r="F14" s="2">
        <f t="shared" si="2"/>
        <v>-78017.747252747256</v>
      </c>
      <c r="G14" s="2">
        <f t="shared" si="3"/>
        <v>68718.877551020385</v>
      </c>
      <c r="H14" s="2">
        <f t="shared" si="3"/>
        <v>88574.917159763325</v>
      </c>
    </row>
    <row r="15" spans="1:8" x14ac:dyDescent="0.3">
      <c r="A15">
        <v>14</v>
      </c>
      <c r="B15">
        <v>454</v>
      </c>
      <c r="C15">
        <f t="shared" si="4"/>
        <v>905</v>
      </c>
      <c r="D15" s="1">
        <f t="shared" si="0"/>
        <v>-269.14285714285711</v>
      </c>
      <c r="E15" s="2">
        <f t="shared" si="1"/>
        <v>210.61538461538464</v>
      </c>
      <c r="F15" s="2">
        <f t="shared" si="2"/>
        <v>-56685.626373626372</v>
      </c>
      <c r="G15" s="2">
        <f t="shared" si="3"/>
        <v>72437.877551020385</v>
      </c>
      <c r="H15" s="2">
        <f t="shared" si="3"/>
        <v>44358.840236686403</v>
      </c>
    </row>
    <row r="16" spans="1:8" x14ac:dyDescent="0.3">
      <c r="A16">
        <v>15</v>
      </c>
      <c r="B16">
        <v>920</v>
      </c>
      <c r="C16">
        <f t="shared" si="4"/>
        <v>461</v>
      </c>
      <c r="D16" s="1">
        <f t="shared" si="0"/>
        <v>196.85714285714289</v>
      </c>
      <c r="E16" s="2">
        <f t="shared" si="1"/>
        <v>-233.38461538461536</v>
      </c>
      <c r="F16" s="2">
        <f t="shared" si="2"/>
        <v>-45943.428571428572</v>
      </c>
      <c r="G16" s="2">
        <f t="shared" si="3"/>
        <v>38752.734693877566</v>
      </c>
      <c r="H16" s="2">
        <f t="shared" si="3"/>
        <v>54468.378698224842</v>
      </c>
    </row>
    <row r="17" spans="1:8" x14ac:dyDescent="0.3">
      <c r="A17">
        <v>16</v>
      </c>
      <c r="B17">
        <f>927-375</f>
        <v>552</v>
      </c>
      <c r="C17">
        <f t="shared" si="4"/>
        <v>454</v>
      </c>
      <c r="D17" s="1">
        <f t="shared" si="0"/>
        <v>-171.14285714285711</v>
      </c>
      <c r="E17" s="2">
        <f t="shared" si="1"/>
        <v>-240.38461538461536</v>
      </c>
      <c r="F17" s="2">
        <f>D17*E17</f>
        <v>41140.109890109881</v>
      </c>
      <c r="G17" s="2">
        <f t="shared" si="3"/>
        <v>29289.877551020396</v>
      </c>
      <c r="H17" s="2">
        <f>E17*E17</f>
        <v>57784.763313609452</v>
      </c>
    </row>
    <row r="18" spans="1:8" x14ac:dyDescent="0.3">
      <c r="A18" t="s">
        <v>0</v>
      </c>
      <c r="B18" s="2">
        <f>SUM(B3:B17)</f>
        <v>10124</v>
      </c>
      <c r="C18" s="2">
        <f>SUM(C3:C17)</f>
        <v>9027</v>
      </c>
      <c r="D18" s="2"/>
      <c r="E18" s="2"/>
      <c r="F18" s="2">
        <f t="shared" ref="F18:H18" si="5">SUM(F2:F17)</f>
        <v>-944846.87912087922</v>
      </c>
      <c r="G18" s="2">
        <f t="shared" si="5"/>
        <v>1025568.7142857141</v>
      </c>
      <c r="H18" s="2">
        <f t="shared" si="5"/>
        <v>1151217.0710059172</v>
      </c>
    </row>
    <row r="19" spans="1:8" x14ac:dyDescent="0.3">
      <c r="A19" t="s">
        <v>1</v>
      </c>
      <c r="B19" s="1">
        <f>B18/(COUNT(B2:B17)-2)</f>
        <v>723.14285714285711</v>
      </c>
      <c r="C19" s="1">
        <f>C18/(COUNTA(C2:C17)-1)</f>
        <v>694.38461538461536</v>
      </c>
    </row>
    <row r="22" spans="1:8" x14ac:dyDescent="0.3">
      <c r="A22">
        <f>F18/SQRT(G18*H18)</f>
        <v>-0.86956177517014699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DC64-35F6-4E16-89F6-43FF1B71F3CB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C5">
        <f>B2</f>
        <v>375</v>
      </c>
      <c r="D5" s="1">
        <f t="shared" ref="D4:D19" si="0">B5-$B$19</f>
        <v>264.76923076923072</v>
      </c>
      <c r="E5" s="2">
        <f t="shared" ref="E4:E18" si="1">C5-$C$19</f>
        <v>-339.41666666666663</v>
      </c>
      <c r="F5" s="2">
        <f t="shared" ref="F4:F16" si="2">D5*E5</f>
        <v>-89867.08974358972</v>
      </c>
      <c r="G5" s="2">
        <f t="shared" ref="G4:H17" si="3">D5*D5</f>
        <v>70102.745562130149</v>
      </c>
      <c r="H5" s="2">
        <f t="shared" si="3"/>
        <v>115203.67361111108</v>
      </c>
    </row>
    <row r="6" spans="1:8" x14ac:dyDescent="0.3">
      <c r="A6">
        <v>5</v>
      </c>
      <c r="B6">
        <v>357</v>
      </c>
      <c r="C6">
        <f t="shared" ref="C6:C17" si="4">B3</f>
        <v>371</v>
      </c>
      <c r="D6" s="1">
        <f t="shared" si="0"/>
        <v>-393.23076923076928</v>
      </c>
      <c r="E6" s="2">
        <f t="shared" si="1"/>
        <v>-343.41666666666663</v>
      </c>
      <c r="F6" s="2">
        <f t="shared" si="2"/>
        <v>135042</v>
      </c>
      <c r="G6" s="2">
        <f t="shared" si="3"/>
        <v>154630.43786982252</v>
      </c>
      <c r="H6" s="2">
        <f t="shared" si="3"/>
        <v>117935.00694444442</v>
      </c>
    </row>
    <row r="7" spans="1:8" x14ac:dyDescent="0.3">
      <c r="A7">
        <v>6</v>
      </c>
      <c r="B7">
        <v>471</v>
      </c>
      <c r="C7">
        <f t="shared" si="4"/>
        <v>869</v>
      </c>
      <c r="D7" s="1">
        <f t="shared" si="0"/>
        <v>-279.23076923076928</v>
      </c>
      <c r="E7" s="2">
        <f t="shared" si="1"/>
        <v>154.58333333333337</v>
      </c>
      <c r="F7" s="2">
        <f t="shared" si="2"/>
        <v>-43164.423076923093</v>
      </c>
      <c r="G7" s="2">
        <f t="shared" si="3"/>
        <v>77969.822485207129</v>
      </c>
      <c r="H7" s="2">
        <f t="shared" si="3"/>
        <v>23896.006944444456</v>
      </c>
    </row>
    <row r="8" spans="1:8" x14ac:dyDescent="0.3">
      <c r="A8">
        <v>7</v>
      </c>
      <c r="B8">
        <v>992</v>
      </c>
      <c r="C8">
        <f t="shared" si="4"/>
        <v>1015</v>
      </c>
      <c r="D8" s="1">
        <f t="shared" si="0"/>
        <v>241.76923076923072</v>
      </c>
      <c r="E8" s="2">
        <f t="shared" si="1"/>
        <v>300.58333333333337</v>
      </c>
      <c r="F8" s="2">
        <f t="shared" si="2"/>
        <v>72671.801282051281</v>
      </c>
      <c r="G8" s="2">
        <f t="shared" si="3"/>
        <v>58452.360946745539</v>
      </c>
      <c r="H8" s="2">
        <f t="shared" si="3"/>
        <v>90350.340277777796</v>
      </c>
    </row>
    <row r="9" spans="1:8" x14ac:dyDescent="0.3">
      <c r="A9">
        <v>8</v>
      </c>
      <c r="B9">
        <v>1020</v>
      </c>
      <c r="C9">
        <f t="shared" si="4"/>
        <v>357</v>
      </c>
      <c r="D9" s="1">
        <f t="shared" si="0"/>
        <v>269.76923076923072</v>
      </c>
      <c r="E9" s="2">
        <f t="shared" si="1"/>
        <v>-357.41666666666663</v>
      </c>
      <c r="F9" s="2">
        <f t="shared" si="2"/>
        <v>-96420.019230769205</v>
      </c>
      <c r="G9" s="2">
        <f t="shared" si="3"/>
        <v>72775.437869822461</v>
      </c>
      <c r="H9" s="2">
        <f t="shared" si="3"/>
        <v>127746.67361111108</v>
      </c>
    </row>
    <row r="10" spans="1:8" x14ac:dyDescent="0.3">
      <c r="A10">
        <v>9</v>
      </c>
      <c r="B10">
        <v>390</v>
      </c>
      <c r="C10">
        <f t="shared" si="4"/>
        <v>471</v>
      </c>
      <c r="D10" s="1">
        <f t="shared" si="0"/>
        <v>-360.23076923076928</v>
      </c>
      <c r="E10" s="2">
        <f t="shared" si="1"/>
        <v>-243.41666666666663</v>
      </c>
      <c r="F10" s="2">
        <f t="shared" si="2"/>
        <v>87686.173076923078</v>
      </c>
      <c r="G10" s="2">
        <f t="shared" si="3"/>
        <v>129766.20710059175</v>
      </c>
      <c r="H10" s="2">
        <f t="shared" si="3"/>
        <v>59251.673611111095</v>
      </c>
    </row>
    <row r="11" spans="1:8" x14ac:dyDescent="0.3">
      <c r="A11">
        <v>10</v>
      </c>
      <c r="B11">
        <v>355</v>
      </c>
      <c r="C11">
        <f t="shared" si="4"/>
        <v>992</v>
      </c>
      <c r="D11" s="1">
        <f t="shared" si="0"/>
        <v>-395.23076923076928</v>
      </c>
      <c r="E11" s="2">
        <f t="shared" si="1"/>
        <v>277.58333333333337</v>
      </c>
      <c r="F11" s="2">
        <f t="shared" si="2"/>
        <v>-109709.47435897439</v>
      </c>
      <c r="G11" s="2">
        <f t="shared" si="3"/>
        <v>156207.36094674561</v>
      </c>
      <c r="H11" s="2">
        <f t="shared" si="3"/>
        <v>77052.506944444467</v>
      </c>
    </row>
    <row r="12" spans="1:8" x14ac:dyDescent="0.3">
      <c r="A12">
        <v>11</v>
      </c>
      <c r="B12">
        <v>992</v>
      </c>
      <c r="C12">
        <f t="shared" si="4"/>
        <v>1020</v>
      </c>
      <c r="D12" s="1">
        <f t="shared" si="0"/>
        <v>241.76923076923072</v>
      </c>
      <c r="E12" s="2">
        <f t="shared" si="1"/>
        <v>305.58333333333337</v>
      </c>
      <c r="F12" s="2">
        <f t="shared" si="2"/>
        <v>73880.647435897423</v>
      </c>
      <c r="G12" s="2">
        <f t="shared" si="3"/>
        <v>58452.360946745539</v>
      </c>
      <c r="H12" s="2">
        <f t="shared" si="3"/>
        <v>93381.173611111139</v>
      </c>
    </row>
    <row r="13" spans="1:8" x14ac:dyDescent="0.3">
      <c r="A13">
        <v>12</v>
      </c>
      <c r="B13">
        <v>905</v>
      </c>
      <c r="C13">
        <f t="shared" si="4"/>
        <v>390</v>
      </c>
      <c r="D13" s="1">
        <f t="shared" si="0"/>
        <v>154.76923076923072</v>
      </c>
      <c r="E13" s="2">
        <f t="shared" si="1"/>
        <v>-324.41666666666663</v>
      </c>
      <c r="F13" s="2">
        <f t="shared" si="2"/>
        <v>-50209.717948717924</v>
      </c>
      <c r="G13" s="2">
        <f t="shared" si="3"/>
        <v>23953.514792899394</v>
      </c>
      <c r="H13" s="2">
        <f t="shared" si="3"/>
        <v>105246.17361111108</v>
      </c>
    </row>
    <row r="14" spans="1:8" x14ac:dyDescent="0.3">
      <c r="A14">
        <v>13</v>
      </c>
      <c r="B14">
        <v>461</v>
      </c>
      <c r="C14">
        <f t="shared" si="4"/>
        <v>355</v>
      </c>
      <c r="D14" s="1">
        <f t="shared" si="0"/>
        <v>-289.23076923076928</v>
      </c>
      <c r="E14" s="2">
        <f t="shared" si="1"/>
        <v>-359.41666666666663</v>
      </c>
      <c r="F14" s="2">
        <f t="shared" si="2"/>
        <v>103954.35897435898</v>
      </c>
      <c r="G14" s="2">
        <f t="shared" si="3"/>
        <v>83654.437869822519</v>
      </c>
      <c r="H14" s="2">
        <f t="shared" si="3"/>
        <v>129180.34027777775</v>
      </c>
    </row>
    <row r="15" spans="1:8" x14ac:dyDescent="0.3">
      <c r="A15">
        <v>14</v>
      </c>
      <c r="B15">
        <v>454</v>
      </c>
      <c r="C15">
        <f t="shared" si="4"/>
        <v>992</v>
      </c>
      <c r="D15" s="1">
        <f t="shared" si="0"/>
        <v>-296.23076923076928</v>
      </c>
      <c r="E15" s="2">
        <f t="shared" si="1"/>
        <v>277.58333333333337</v>
      </c>
      <c r="F15" s="2">
        <f t="shared" si="2"/>
        <v>-82228.724358974388</v>
      </c>
      <c r="G15" s="2">
        <f t="shared" si="3"/>
        <v>87752.668639053285</v>
      </c>
      <c r="H15" s="2">
        <f t="shared" si="3"/>
        <v>77052.506944444467</v>
      </c>
    </row>
    <row r="16" spans="1:8" x14ac:dyDescent="0.3">
      <c r="A16">
        <v>15</v>
      </c>
      <c r="B16">
        <v>920</v>
      </c>
      <c r="C16">
        <f t="shared" si="4"/>
        <v>905</v>
      </c>
      <c r="D16" s="1">
        <f t="shared" si="0"/>
        <v>169.76923076923072</v>
      </c>
      <c r="E16" s="2">
        <f t="shared" si="1"/>
        <v>190.58333333333337</v>
      </c>
      <c r="F16" s="2">
        <f t="shared" si="2"/>
        <v>32355.185897435895</v>
      </c>
      <c r="G16" s="2">
        <f t="shared" si="3"/>
        <v>28821.591715976312</v>
      </c>
      <c r="H16" s="2">
        <f t="shared" si="3"/>
        <v>36322.00694444446</v>
      </c>
    </row>
    <row r="17" spans="1:8" x14ac:dyDescent="0.3">
      <c r="A17">
        <v>16</v>
      </c>
      <c r="B17">
        <f>927-375</f>
        <v>552</v>
      </c>
      <c r="C17">
        <f t="shared" si="4"/>
        <v>461</v>
      </c>
      <c r="D17" s="1">
        <f t="shared" si="0"/>
        <v>-198.23076923076928</v>
      </c>
      <c r="E17" s="2">
        <f t="shared" si="1"/>
        <v>-253.41666666666663</v>
      </c>
      <c r="F17" s="2">
        <f>D17*E17</f>
        <v>50234.980769230773</v>
      </c>
      <c r="G17" s="2">
        <f t="shared" si="3"/>
        <v>39295.437869822505</v>
      </c>
      <c r="H17" s="2">
        <f>E17*E17</f>
        <v>64220.006944444423</v>
      </c>
    </row>
    <row r="18" spans="1:8" x14ac:dyDescent="0.3">
      <c r="A18" t="s">
        <v>0</v>
      </c>
      <c r="B18" s="2">
        <f>SUM(B4:B17)</f>
        <v>9753</v>
      </c>
      <c r="C18" s="2">
        <f>SUM(C5:C17)</f>
        <v>8573</v>
      </c>
      <c r="D18" s="2"/>
      <c r="E18" s="2"/>
      <c r="F18" s="2">
        <f t="shared" ref="F18:H18" si="5">SUM(F2:F17)</f>
        <v>84225.698717948719</v>
      </c>
      <c r="G18" s="2">
        <f t="shared" si="5"/>
        <v>1041834.3846153846</v>
      </c>
      <c r="H18" s="2">
        <f t="shared" si="5"/>
        <v>1116838.0902777778</v>
      </c>
    </row>
    <row r="19" spans="1:8" x14ac:dyDescent="0.3">
      <c r="A19" t="s">
        <v>1</v>
      </c>
      <c r="B19" s="1">
        <f>B18/(COUNT(B2:B17)-3)</f>
        <v>750.23076923076928</v>
      </c>
      <c r="C19" s="1">
        <f>C18/(COUNTA(C2:C17)-1)</f>
        <v>714.41666666666663</v>
      </c>
    </row>
    <row r="22" spans="1:8" x14ac:dyDescent="0.3">
      <c r="A22">
        <f>F18/SQRT(G18*H18)</f>
        <v>7.8081863641437307E-2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2BE1-C14D-497D-BAA3-D52135500ED9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C6">
        <f>B2</f>
        <v>375</v>
      </c>
      <c r="D6" s="1">
        <f t="shared" ref="D5:D20" si="0">B6-$B$19</f>
        <v>-383.33333333333337</v>
      </c>
      <c r="E6" s="2">
        <f t="shared" ref="E5:E19" si="1">C6-$C$19</f>
        <v>-362.4545454545455</v>
      </c>
      <c r="F6" s="2">
        <f t="shared" ref="F5:F16" si="2">D6*E6</f>
        <v>138940.90909090912</v>
      </c>
      <c r="G6" s="2">
        <f t="shared" ref="G5:H18" si="3">D6*D6</f>
        <v>146944.44444444447</v>
      </c>
      <c r="H6" s="2">
        <f t="shared" si="3"/>
        <v>131373.29752066117</v>
      </c>
    </row>
    <row r="7" spans="1:8" x14ac:dyDescent="0.3">
      <c r="A7">
        <v>6</v>
      </c>
      <c r="B7">
        <v>471</v>
      </c>
      <c r="C7">
        <f t="shared" ref="C7:C17" si="4">B3</f>
        <v>371</v>
      </c>
      <c r="D7" s="1">
        <f t="shared" si="0"/>
        <v>-269.33333333333337</v>
      </c>
      <c r="E7" s="2">
        <f t="shared" si="1"/>
        <v>-366.4545454545455</v>
      </c>
      <c r="F7" s="2">
        <f t="shared" si="2"/>
        <v>98698.424242424269</v>
      </c>
      <c r="G7" s="2">
        <f t="shared" si="3"/>
        <v>72540.444444444467</v>
      </c>
      <c r="H7" s="2">
        <f t="shared" si="3"/>
        <v>134288.93388429756</v>
      </c>
    </row>
    <row r="8" spans="1:8" x14ac:dyDescent="0.3">
      <c r="A8">
        <v>7</v>
      </c>
      <c r="B8">
        <v>992</v>
      </c>
      <c r="C8">
        <f t="shared" si="4"/>
        <v>869</v>
      </c>
      <c r="D8" s="1">
        <f t="shared" si="0"/>
        <v>251.66666666666663</v>
      </c>
      <c r="E8" s="2">
        <f t="shared" si="1"/>
        <v>131.5454545454545</v>
      </c>
      <c r="F8" s="2">
        <f t="shared" si="2"/>
        <v>33105.606060606042</v>
      </c>
      <c r="G8" s="2">
        <f t="shared" si="3"/>
        <v>63336.111111111095</v>
      </c>
      <c r="H8" s="2">
        <f t="shared" si="3"/>
        <v>17304.206611570236</v>
      </c>
    </row>
    <row r="9" spans="1:8" x14ac:dyDescent="0.3">
      <c r="A9">
        <v>8</v>
      </c>
      <c r="B9">
        <v>1020</v>
      </c>
      <c r="C9">
        <f t="shared" si="4"/>
        <v>1015</v>
      </c>
      <c r="D9" s="1">
        <f t="shared" si="0"/>
        <v>279.66666666666663</v>
      </c>
      <c r="E9" s="2">
        <f t="shared" si="1"/>
        <v>277.5454545454545</v>
      </c>
      <c r="F9" s="2">
        <f t="shared" si="2"/>
        <v>77620.212121212098</v>
      </c>
      <c r="G9" s="2">
        <f t="shared" si="3"/>
        <v>78213.444444444423</v>
      </c>
      <c r="H9" s="2">
        <f t="shared" si="3"/>
        <v>77031.479338842953</v>
      </c>
    </row>
    <row r="10" spans="1:8" x14ac:dyDescent="0.3">
      <c r="A10">
        <v>9</v>
      </c>
      <c r="B10">
        <v>390</v>
      </c>
      <c r="C10">
        <f t="shared" si="4"/>
        <v>357</v>
      </c>
      <c r="D10" s="1">
        <f t="shared" si="0"/>
        <v>-350.33333333333337</v>
      </c>
      <c r="E10" s="2">
        <f t="shared" si="1"/>
        <v>-380.4545454545455</v>
      </c>
      <c r="F10" s="2">
        <f t="shared" si="2"/>
        <v>133285.90909090912</v>
      </c>
      <c r="G10" s="2">
        <f t="shared" si="3"/>
        <v>122733.44444444447</v>
      </c>
      <c r="H10" s="2">
        <f t="shared" si="3"/>
        <v>144745.66115702482</v>
      </c>
    </row>
    <row r="11" spans="1:8" x14ac:dyDescent="0.3">
      <c r="A11">
        <v>10</v>
      </c>
      <c r="B11">
        <v>355</v>
      </c>
      <c r="C11">
        <f t="shared" si="4"/>
        <v>471</v>
      </c>
      <c r="D11" s="1">
        <f t="shared" si="0"/>
        <v>-385.33333333333337</v>
      </c>
      <c r="E11" s="2">
        <f t="shared" si="1"/>
        <v>-266.4545454545455</v>
      </c>
      <c r="F11" s="2">
        <f t="shared" si="2"/>
        <v>102673.81818181821</v>
      </c>
      <c r="G11" s="2">
        <f t="shared" si="3"/>
        <v>148481.77777777781</v>
      </c>
      <c r="H11" s="2">
        <f t="shared" si="3"/>
        <v>70998.024793388453</v>
      </c>
    </row>
    <row r="12" spans="1:8" x14ac:dyDescent="0.3">
      <c r="A12">
        <v>11</v>
      </c>
      <c r="B12">
        <v>992</v>
      </c>
      <c r="C12">
        <f t="shared" si="4"/>
        <v>992</v>
      </c>
      <c r="D12" s="1">
        <f t="shared" si="0"/>
        <v>251.66666666666663</v>
      </c>
      <c r="E12" s="2">
        <f t="shared" si="1"/>
        <v>254.5454545454545</v>
      </c>
      <c r="F12" s="2">
        <f t="shared" si="2"/>
        <v>64060.606060606042</v>
      </c>
      <c r="G12" s="2">
        <f t="shared" si="3"/>
        <v>63336.111111111095</v>
      </c>
      <c r="H12" s="2">
        <f t="shared" si="3"/>
        <v>64793.388429752042</v>
      </c>
    </row>
    <row r="13" spans="1:8" x14ac:dyDescent="0.3">
      <c r="A13">
        <v>12</v>
      </c>
      <c r="B13">
        <v>905</v>
      </c>
      <c r="C13">
        <f t="shared" si="4"/>
        <v>1020</v>
      </c>
      <c r="D13" s="1">
        <f t="shared" si="0"/>
        <v>164.66666666666663</v>
      </c>
      <c r="E13" s="2">
        <f t="shared" si="1"/>
        <v>282.5454545454545</v>
      </c>
      <c r="F13" s="2">
        <f t="shared" si="2"/>
        <v>46525.818181818162</v>
      </c>
      <c r="G13" s="2">
        <f t="shared" si="3"/>
        <v>27115.111111111099</v>
      </c>
      <c r="H13" s="2">
        <f t="shared" si="3"/>
        <v>79831.933884297498</v>
      </c>
    </row>
    <row r="14" spans="1:8" x14ac:dyDescent="0.3">
      <c r="A14">
        <v>13</v>
      </c>
      <c r="B14">
        <v>461</v>
      </c>
      <c r="C14">
        <f t="shared" si="4"/>
        <v>390</v>
      </c>
      <c r="D14" s="1">
        <f t="shared" si="0"/>
        <v>-279.33333333333337</v>
      </c>
      <c r="E14" s="2">
        <f t="shared" si="1"/>
        <v>-347.4545454545455</v>
      </c>
      <c r="F14" s="2">
        <f t="shared" si="2"/>
        <v>97055.636363636382</v>
      </c>
      <c r="G14" s="2">
        <f t="shared" si="3"/>
        <v>78027.111111111139</v>
      </c>
      <c r="H14" s="2">
        <f t="shared" si="3"/>
        <v>120724.66115702482</v>
      </c>
    </row>
    <row r="15" spans="1:8" x14ac:dyDescent="0.3">
      <c r="A15">
        <v>14</v>
      </c>
      <c r="B15">
        <v>454</v>
      </c>
      <c r="C15">
        <f t="shared" si="4"/>
        <v>355</v>
      </c>
      <c r="D15" s="1">
        <f t="shared" si="0"/>
        <v>-286.33333333333337</v>
      </c>
      <c r="E15" s="2">
        <f t="shared" si="1"/>
        <v>-382.4545454545455</v>
      </c>
      <c r="F15" s="2">
        <f t="shared" si="2"/>
        <v>109509.48484848488</v>
      </c>
      <c r="G15" s="2">
        <f t="shared" si="3"/>
        <v>81986.777777777796</v>
      </c>
      <c r="H15" s="2">
        <f t="shared" si="3"/>
        <v>146271.479338843</v>
      </c>
    </row>
    <row r="16" spans="1:8" x14ac:dyDescent="0.3">
      <c r="A16">
        <v>15</v>
      </c>
      <c r="B16">
        <v>920</v>
      </c>
      <c r="C16">
        <f t="shared" si="4"/>
        <v>992</v>
      </c>
      <c r="D16" s="1">
        <f t="shared" si="0"/>
        <v>179.66666666666663</v>
      </c>
      <c r="E16" s="2">
        <f t="shared" si="1"/>
        <v>254.5454545454545</v>
      </c>
      <c r="F16" s="2">
        <f t="shared" si="2"/>
        <v>45733.333333333314</v>
      </c>
      <c r="G16" s="2">
        <f t="shared" si="3"/>
        <v>32280.111111111099</v>
      </c>
      <c r="H16" s="2">
        <f t="shared" si="3"/>
        <v>64793.388429752042</v>
      </c>
    </row>
    <row r="17" spans="1:8" x14ac:dyDescent="0.3">
      <c r="A17">
        <v>16</v>
      </c>
      <c r="B17">
        <f>927-375</f>
        <v>552</v>
      </c>
      <c r="C17">
        <f t="shared" si="4"/>
        <v>905</v>
      </c>
      <c r="D17" s="1">
        <f t="shared" si="0"/>
        <v>-188.33333333333337</v>
      </c>
      <c r="E17" s="2">
        <f t="shared" si="1"/>
        <v>167.5454545454545</v>
      </c>
      <c r="F17" s="2">
        <f>D17*E17</f>
        <v>-31554.393939393936</v>
      </c>
      <c r="G17" s="2">
        <f t="shared" si="3"/>
        <v>35469.44444444446</v>
      </c>
      <c r="H17" s="2">
        <f>E17*E17</f>
        <v>28071.479338842961</v>
      </c>
    </row>
    <row r="18" spans="1:8" x14ac:dyDescent="0.3">
      <c r="A18" t="s">
        <v>0</v>
      </c>
      <c r="B18" s="2">
        <f>SUM(B5:B17)</f>
        <v>8884</v>
      </c>
      <c r="C18" s="2">
        <f>SUM(C5:C17)</f>
        <v>8112</v>
      </c>
      <c r="D18" s="2"/>
      <c r="E18" s="2"/>
      <c r="F18" s="2">
        <f t="shared" ref="F18:H18" si="5">SUM(F2:F17)</f>
        <v>915655.36363636365</v>
      </c>
      <c r="G18" s="2">
        <f t="shared" si="5"/>
        <v>950464.33333333349</v>
      </c>
      <c r="H18" s="2">
        <f t="shared" si="5"/>
        <v>1080227.9338842975</v>
      </c>
    </row>
    <row r="19" spans="1:8" x14ac:dyDescent="0.3">
      <c r="A19" t="s">
        <v>1</v>
      </c>
      <c r="B19" s="1">
        <f>B18/(COUNT(B2:B17)-4)</f>
        <v>740.33333333333337</v>
      </c>
      <c r="C19" s="1">
        <f>C18/(COUNTA(C2:C17)-1)</f>
        <v>737.4545454545455</v>
      </c>
    </row>
    <row r="22" spans="1:8" x14ac:dyDescent="0.3">
      <c r="A22">
        <f>F18/SQRT(G18*H18)</f>
        <v>0.90366285232395505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38E0-14C5-4B0D-B9CE-AE3869E838B3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C7">
        <f>B2</f>
        <v>375</v>
      </c>
      <c r="D7" s="1">
        <f t="shared" ref="D6:D21" si="0">B7-$B$19</f>
        <v>-244.36363636363637</v>
      </c>
      <c r="E7" s="2">
        <f t="shared" ref="E6:E20" si="1">C7-$C$19</f>
        <v>-345.70000000000005</v>
      </c>
      <c r="F7" s="2">
        <f t="shared" ref="F6:F16" si="2">D7*E7</f>
        <v>84476.509090909109</v>
      </c>
      <c r="G7" s="2">
        <f t="shared" ref="G6:H19" si="3">D7*D7</f>
        <v>59713.586776859513</v>
      </c>
      <c r="H7" s="2">
        <f t="shared" si="3"/>
        <v>119508.49000000003</v>
      </c>
    </row>
    <row r="8" spans="1:8" x14ac:dyDescent="0.3">
      <c r="A8">
        <v>7</v>
      </c>
      <c r="B8">
        <v>992</v>
      </c>
      <c r="C8">
        <f t="shared" ref="C8:C17" si="4">B3</f>
        <v>371</v>
      </c>
      <c r="D8" s="1">
        <f t="shared" si="0"/>
        <v>276.63636363636363</v>
      </c>
      <c r="E8" s="2">
        <f t="shared" si="1"/>
        <v>-349.70000000000005</v>
      </c>
      <c r="F8" s="2">
        <f t="shared" si="2"/>
        <v>-96739.736363636373</v>
      </c>
      <c r="G8" s="2">
        <f t="shared" si="3"/>
        <v>76527.677685950403</v>
      </c>
      <c r="H8" s="2">
        <f t="shared" si="3"/>
        <v>122290.09000000003</v>
      </c>
    </row>
    <row r="9" spans="1:8" x14ac:dyDescent="0.3">
      <c r="A9">
        <v>8</v>
      </c>
      <c r="B9">
        <v>1020</v>
      </c>
      <c r="C9">
        <f t="shared" si="4"/>
        <v>869</v>
      </c>
      <c r="D9" s="1">
        <f t="shared" si="0"/>
        <v>304.63636363636363</v>
      </c>
      <c r="E9" s="2">
        <f t="shared" si="1"/>
        <v>148.29999999999995</v>
      </c>
      <c r="F9" s="2">
        <f t="shared" si="2"/>
        <v>45177.572727272709</v>
      </c>
      <c r="G9" s="2">
        <f t="shared" si="3"/>
        <v>92803.31404958677</v>
      </c>
      <c r="H9" s="2">
        <f t="shared" si="3"/>
        <v>21992.889999999985</v>
      </c>
    </row>
    <row r="10" spans="1:8" x14ac:dyDescent="0.3">
      <c r="A10">
        <v>9</v>
      </c>
      <c r="B10">
        <v>390</v>
      </c>
      <c r="C10">
        <f t="shared" si="4"/>
        <v>1015</v>
      </c>
      <c r="D10" s="1">
        <f t="shared" si="0"/>
        <v>-325.36363636363637</v>
      </c>
      <c r="E10" s="2">
        <f t="shared" si="1"/>
        <v>294.29999999999995</v>
      </c>
      <c r="F10" s="2">
        <f t="shared" si="2"/>
        <v>-95754.518181818174</v>
      </c>
      <c r="G10" s="2">
        <f t="shared" si="3"/>
        <v>105861.49586776861</v>
      </c>
      <c r="H10" s="2">
        <f t="shared" si="3"/>
        <v>86612.489999999976</v>
      </c>
    </row>
    <row r="11" spans="1:8" x14ac:dyDescent="0.3">
      <c r="A11">
        <v>10</v>
      </c>
      <c r="B11">
        <v>355</v>
      </c>
      <c r="C11">
        <f t="shared" si="4"/>
        <v>357</v>
      </c>
      <c r="D11" s="1">
        <f t="shared" si="0"/>
        <v>-360.36363636363637</v>
      </c>
      <c r="E11" s="2">
        <f t="shared" si="1"/>
        <v>-363.70000000000005</v>
      </c>
      <c r="F11" s="2">
        <f t="shared" si="2"/>
        <v>131064.25454545456</v>
      </c>
      <c r="G11" s="2">
        <f t="shared" si="3"/>
        <v>129861.95041322315</v>
      </c>
      <c r="H11" s="2">
        <f t="shared" si="3"/>
        <v>132277.69000000003</v>
      </c>
    </row>
    <row r="12" spans="1:8" x14ac:dyDescent="0.3">
      <c r="A12">
        <v>11</v>
      </c>
      <c r="B12">
        <v>992</v>
      </c>
      <c r="C12">
        <f t="shared" si="4"/>
        <v>471</v>
      </c>
      <c r="D12" s="1">
        <f t="shared" si="0"/>
        <v>276.63636363636363</v>
      </c>
      <c r="E12" s="2">
        <f t="shared" si="1"/>
        <v>-249.70000000000005</v>
      </c>
      <c r="F12" s="2">
        <f t="shared" si="2"/>
        <v>-69076.100000000006</v>
      </c>
      <c r="G12" s="2">
        <f t="shared" si="3"/>
        <v>76527.677685950403</v>
      </c>
      <c r="H12" s="2">
        <f t="shared" si="3"/>
        <v>62350.090000000026</v>
      </c>
    </row>
    <row r="13" spans="1:8" x14ac:dyDescent="0.3">
      <c r="A13">
        <v>12</v>
      </c>
      <c r="B13">
        <v>905</v>
      </c>
      <c r="C13">
        <f t="shared" si="4"/>
        <v>992</v>
      </c>
      <c r="D13" s="1">
        <f t="shared" si="0"/>
        <v>189.63636363636363</v>
      </c>
      <c r="E13" s="2">
        <f t="shared" si="1"/>
        <v>271.29999999999995</v>
      </c>
      <c r="F13" s="2">
        <f t="shared" si="2"/>
        <v>51448.345454545444</v>
      </c>
      <c r="G13" s="2">
        <f t="shared" si="3"/>
        <v>35961.950413223138</v>
      </c>
      <c r="H13" s="2">
        <f t="shared" si="3"/>
        <v>73603.689999999973</v>
      </c>
    </row>
    <row r="14" spans="1:8" x14ac:dyDescent="0.3">
      <c r="A14">
        <v>13</v>
      </c>
      <c r="B14">
        <v>461</v>
      </c>
      <c r="C14">
        <f t="shared" si="4"/>
        <v>1020</v>
      </c>
      <c r="D14" s="1">
        <f t="shared" si="0"/>
        <v>-254.36363636363637</v>
      </c>
      <c r="E14" s="2">
        <f t="shared" si="1"/>
        <v>299.29999999999995</v>
      </c>
      <c r="F14" s="2">
        <f t="shared" si="2"/>
        <v>-76131.036363636362</v>
      </c>
      <c r="G14" s="2">
        <f t="shared" si="3"/>
        <v>64700.859504132233</v>
      </c>
      <c r="H14" s="2">
        <f t="shared" si="3"/>
        <v>89580.489999999976</v>
      </c>
    </row>
    <row r="15" spans="1:8" x14ac:dyDescent="0.3">
      <c r="A15">
        <v>14</v>
      </c>
      <c r="B15">
        <v>454</v>
      </c>
      <c r="C15">
        <f t="shared" si="4"/>
        <v>390</v>
      </c>
      <c r="D15" s="1">
        <f t="shared" si="0"/>
        <v>-261.36363636363637</v>
      </c>
      <c r="E15" s="2">
        <f t="shared" si="1"/>
        <v>-330.70000000000005</v>
      </c>
      <c r="F15" s="2">
        <f t="shared" si="2"/>
        <v>86432.954545454559</v>
      </c>
      <c r="G15" s="2">
        <f t="shared" si="3"/>
        <v>68310.950413223152</v>
      </c>
      <c r="H15" s="2">
        <f t="shared" si="3"/>
        <v>109362.49000000003</v>
      </c>
    </row>
    <row r="16" spans="1:8" x14ac:dyDescent="0.3">
      <c r="A16">
        <v>15</v>
      </c>
      <c r="B16">
        <v>920</v>
      </c>
      <c r="C16">
        <f t="shared" si="4"/>
        <v>355</v>
      </c>
      <c r="D16" s="1">
        <f t="shared" si="0"/>
        <v>204.63636363636363</v>
      </c>
      <c r="E16" s="2">
        <f t="shared" si="1"/>
        <v>-365.70000000000005</v>
      </c>
      <c r="F16" s="2">
        <f t="shared" si="2"/>
        <v>-74835.518181818188</v>
      </c>
      <c r="G16" s="2">
        <f t="shared" si="3"/>
        <v>41876.041322314042</v>
      </c>
      <c r="H16" s="2">
        <f t="shared" si="3"/>
        <v>133736.49000000002</v>
      </c>
    </row>
    <row r="17" spans="1:8" x14ac:dyDescent="0.3">
      <c r="A17">
        <v>16</v>
      </c>
      <c r="B17">
        <f>927-375</f>
        <v>552</v>
      </c>
      <c r="C17">
        <f t="shared" si="4"/>
        <v>992</v>
      </c>
      <c r="D17" s="1">
        <f t="shared" si="0"/>
        <v>-163.36363636363637</v>
      </c>
      <c r="E17" s="2">
        <f t="shared" si="1"/>
        <v>271.29999999999995</v>
      </c>
      <c r="F17" s="2">
        <f>D17*E17</f>
        <v>-44320.554545454543</v>
      </c>
      <c r="G17" s="2">
        <f t="shared" si="3"/>
        <v>26687.677685950417</v>
      </c>
      <c r="H17" s="2">
        <f>E17*E17</f>
        <v>73603.689999999973</v>
      </c>
    </row>
    <row r="18" spans="1:8" x14ac:dyDescent="0.3">
      <c r="A18" t="s">
        <v>0</v>
      </c>
      <c r="B18" s="2">
        <f>SUM(B6:B17)</f>
        <v>7869</v>
      </c>
      <c r="C18" s="2">
        <f>SUM(C7:C17)</f>
        <v>7207</v>
      </c>
      <c r="D18" s="2"/>
      <c r="E18" s="2"/>
      <c r="F18" s="2">
        <f t="shared" ref="F18:H18" si="5">SUM(F2:F17)</f>
        <v>-58257.827272727263</v>
      </c>
      <c r="G18" s="2">
        <f t="shared" si="5"/>
        <v>778833.18181818177</v>
      </c>
      <c r="H18" s="2">
        <f t="shared" si="5"/>
        <v>1024918.5900000001</v>
      </c>
    </row>
    <row r="19" spans="1:8" x14ac:dyDescent="0.3">
      <c r="A19" t="s">
        <v>1</v>
      </c>
      <c r="B19" s="1">
        <f>B18/(COUNT(B2:B17)-5)</f>
        <v>715.36363636363637</v>
      </c>
      <c r="C19" s="1">
        <f>C18/(COUNTA(C2:C17)-1)</f>
        <v>720.7</v>
      </c>
    </row>
    <row r="22" spans="1:8" x14ac:dyDescent="0.3">
      <c r="A22">
        <f>F18/SQRT(G18*H18)</f>
        <v>-6.5205972317663147E-2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43B9-0890-4D8F-8123-78FC604482A9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C8">
        <f>B2</f>
        <v>375</v>
      </c>
      <c r="D8" s="1">
        <f t="shared" ref="D7:D22" si="0">B8-$B$19</f>
        <v>240.79999999999995</v>
      </c>
      <c r="E8" s="2">
        <f t="shared" ref="E7:E21" si="1">C8-$C$19</f>
        <v>-315.55555555555554</v>
      </c>
      <c r="F8" s="2">
        <f t="shared" ref="F7:F16" si="2">D8*E8</f>
        <v>-75985.777777777766</v>
      </c>
      <c r="G8" s="2">
        <f t="shared" ref="G7:H20" si="3">D8*D8</f>
        <v>57984.639999999978</v>
      </c>
      <c r="H8" s="2">
        <f t="shared" si="3"/>
        <v>99575.308641975294</v>
      </c>
    </row>
    <row r="9" spans="1:8" x14ac:dyDescent="0.3">
      <c r="A9">
        <v>8</v>
      </c>
      <c r="B9">
        <v>1020</v>
      </c>
      <c r="C9">
        <f t="shared" ref="C9:C17" si="4">B3</f>
        <v>371</v>
      </c>
      <c r="D9" s="1">
        <f t="shared" si="0"/>
        <v>268.79999999999995</v>
      </c>
      <c r="E9" s="2">
        <f t="shared" si="1"/>
        <v>-319.55555555555554</v>
      </c>
      <c r="F9" s="2">
        <f t="shared" si="2"/>
        <v>-85896.533333333311</v>
      </c>
      <c r="G9" s="2">
        <f t="shared" si="3"/>
        <v>72253.439999999973</v>
      </c>
      <c r="H9" s="2">
        <f t="shared" si="3"/>
        <v>102115.75308641975</v>
      </c>
    </row>
    <row r="10" spans="1:8" x14ac:dyDescent="0.3">
      <c r="A10">
        <v>9</v>
      </c>
      <c r="B10">
        <v>390</v>
      </c>
      <c r="C10">
        <f t="shared" si="4"/>
        <v>869</v>
      </c>
      <c r="D10" s="1">
        <f t="shared" si="0"/>
        <v>-361.20000000000005</v>
      </c>
      <c r="E10" s="2">
        <f t="shared" si="1"/>
        <v>178.44444444444446</v>
      </c>
      <c r="F10" s="2">
        <f t="shared" si="2"/>
        <v>-64454.133333333346</v>
      </c>
      <c r="G10" s="2">
        <f t="shared" si="3"/>
        <v>130465.44000000003</v>
      </c>
      <c r="H10" s="2">
        <f t="shared" si="3"/>
        <v>31842.419753086426</v>
      </c>
    </row>
    <row r="11" spans="1:8" x14ac:dyDescent="0.3">
      <c r="A11">
        <v>10</v>
      </c>
      <c r="B11">
        <v>355</v>
      </c>
      <c r="C11">
        <f t="shared" si="4"/>
        <v>1015</v>
      </c>
      <c r="D11" s="1">
        <f t="shared" si="0"/>
        <v>-396.20000000000005</v>
      </c>
      <c r="E11" s="2">
        <f t="shared" si="1"/>
        <v>324.44444444444446</v>
      </c>
      <c r="F11" s="2">
        <f t="shared" si="2"/>
        <v>-128544.88888888891</v>
      </c>
      <c r="G11" s="2">
        <f t="shared" si="3"/>
        <v>156974.44000000003</v>
      </c>
      <c r="H11" s="2">
        <f t="shared" si="3"/>
        <v>105264.1975308642</v>
      </c>
    </row>
    <row r="12" spans="1:8" x14ac:dyDescent="0.3">
      <c r="A12">
        <v>11</v>
      </c>
      <c r="B12">
        <v>992</v>
      </c>
      <c r="C12">
        <f t="shared" si="4"/>
        <v>357</v>
      </c>
      <c r="D12" s="1">
        <f t="shared" si="0"/>
        <v>240.79999999999995</v>
      </c>
      <c r="E12" s="2">
        <f t="shared" si="1"/>
        <v>-333.55555555555554</v>
      </c>
      <c r="F12" s="2">
        <f t="shared" si="2"/>
        <v>-80320.177777777761</v>
      </c>
      <c r="G12" s="2">
        <f t="shared" si="3"/>
        <v>57984.639999999978</v>
      </c>
      <c r="H12" s="2">
        <f t="shared" si="3"/>
        <v>111259.30864197529</v>
      </c>
    </row>
    <row r="13" spans="1:8" x14ac:dyDescent="0.3">
      <c r="A13">
        <v>12</v>
      </c>
      <c r="B13">
        <v>905</v>
      </c>
      <c r="C13">
        <f t="shared" si="4"/>
        <v>471</v>
      </c>
      <c r="D13" s="1">
        <f t="shared" si="0"/>
        <v>153.79999999999995</v>
      </c>
      <c r="E13" s="2">
        <f t="shared" si="1"/>
        <v>-219.55555555555554</v>
      </c>
      <c r="F13" s="2">
        <f t="shared" si="2"/>
        <v>-33767.644444444435</v>
      </c>
      <c r="G13" s="2">
        <f t="shared" si="3"/>
        <v>23654.439999999988</v>
      </c>
      <c r="H13" s="2">
        <f t="shared" si="3"/>
        <v>48204.641975308637</v>
      </c>
    </row>
    <row r="14" spans="1:8" x14ac:dyDescent="0.3">
      <c r="A14">
        <v>13</v>
      </c>
      <c r="B14">
        <v>461</v>
      </c>
      <c r="C14">
        <f t="shared" si="4"/>
        <v>992</v>
      </c>
      <c r="D14" s="1">
        <f t="shared" si="0"/>
        <v>-290.20000000000005</v>
      </c>
      <c r="E14" s="2">
        <f t="shared" si="1"/>
        <v>301.44444444444446</v>
      </c>
      <c r="F14" s="2">
        <f t="shared" si="2"/>
        <v>-87479.17777777779</v>
      </c>
      <c r="G14" s="2">
        <f t="shared" si="3"/>
        <v>84216.040000000023</v>
      </c>
      <c r="H14" s="2">
        <f t="shared" si="3"/>
        <v>90868.753086419762</v>
      </c>
    </row>
    <row r="15" spans="1:8" x14ac:dyDescent="0.3">
      <c r="A15">
        <v>14</v>
      </c>
      <c r="B15">
        <v>454</v>
      </c>
      <c r="C15">
        <f t="shared" si="4"/>
        <v>1020</v>
      </c>
      <c r="D15" s="1">
        <f t="shared" si="0"/>
        <v>-297.20000000000005</v>
      </c>
      <c r="E15" s="2">
        <f t="shared" si="1"/>
        <v>329.44444444444446</v>
      </c>
      <c r="F15" s="2">
        <f t="shared" si="2"/>
        <v>-97910.888888888905</v>
      </c>
      <c r="G15" s="2">
        <f t="shared" si="3"/>
        <v>88327.840000000026</v>
      </c>
      <c r="H15" s="2">
        <f t="shared" si="3"/>
        <v>108533.64197530865</v>
      </c>
    </row>
    <row r="16" spans="1:8" x14ac:dyDescent="0.3">
      <c r="A16">
        <v>15</v>
      </c>
      <c r="B16">
        <v>920</v>
      </c>
      <c r="C16">
        <f t="shared" si="4"/>
        <v>390</v>
      </c>
      <c r="D16" s="1">
        <f t="shared" si="0"/>
        <v>168.79999999999995</v>
      </c>
      <c r="E16" s="2">
        <f t="shared" si="1"/>
        <v>-300.55555555555554</v>
      </c>
      <c r="F16" s="2">
        <f t="shared" si="2"/>
        <v>-50733.777777777759</v>
      </c>
      <c r="G16" s="2">
        <f t="shared" si="3"/>
        <v>28493.439999999984</v>
      </c>
      <c r="H16" s="2">
        <f t="shared" si="3"/>
        <v>90333.641975308637</v>
      </c>
    </row>
    <row r="17" spans="1:8" x14ac:dyDescent="0.3">
      <c r="A17">
        <v>16</v>
      </c>
      <c r="B17">
        <f>927-375</f>
        <v>552</v>
      </c>
      <c r="C17">
        <f t="shared" si="4"/>
        <v>355</v>
      </c>
      <c r="D17" s="1">
        <f t="shared" si="0"/>
        <v>-199.20000000000005</v>
      </c>
      <c r="E17" s="2">
        <f t="shared" si="1"/>
        <v>-335.55555555555554</v>
      </c>
      <c r="F17" s="2">
        <f>D17*E17</f>
        <v>66842.666666666686</v>
      </c>
      <c r="G17" s="2">
        <f t="shared" si="3"/>
        <v>39680.640000000021</v>
      </c>
      <c r="H17" s="2">
        <f>E17*E17</f>
        <v>112597.53086419753</v>
      </c>
    </row>
    <row r="18" spans="1:8" x14ac:dyDescent="0.3">
      <c r="A18" t="s">
        <v>0</v>
      </c>
      <c r="B18" s="2">
        <f>SUM(B7:B17)</f>
        <v>7512</v>
      </c>
      <c r="C18" s="2">
        <f>SUM(C8:C17)</f>
        <v>6215</v>
      </c>
      <c r="D18" s="2"/>
      <c r="E18" s="2"/>
      <c r="F18" s="2">
        <f t="shared" ref="F18:H18" si="5">SUM(F2:F17)</f>
        <v>-638250.33333333326</v>
      </c>
      <c r="G18" s="2">
        <f t="shared" si="5"/>
        <v>740034.99999999988</v>
      </c>
      <c r="H18" s="2">
        <f t="shared" si="5"/>
        <v>900595.19753086416</v>
      </c>
    </row>
    <row r="19" spans="1:8" x14ac:dyDescent="0.3">
      <c r="A19" t="s">
        <v>1</v>
      </c>
      <c r="B19" s="1">
        <f>B18/(COUNT(B2:B17)-6)</f>
        <v>751.2</v>
      </c>
      <c r="C19" s="1">
        <f>C18/(COUNTA(C2:C17)-1)</f>
        <v>690.55555555555554</v>
      </c>
    </row>
    <row r="22" spans="1:8" x14ac:dyDescent="0.3">
      <c r="A22">
        <f>F18/SQRT(G18*H18)</f>
        <v>-0.78180799406461832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A9F1-ECB7-4BE7-A6FD-F9CE6B07B33E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D8" s="1"/>
      <c r="E8" s="2"/>
      <c r="F8" s="2"/>
      <c r="G8" s="2"/>
      <c r="H8" s="2"/>
    </row>
    <row r="9" spans="1:8" x14ac:dyDescent="0.3">
      <c r="A9">
        <v>8</v>
      </c>
      <c r="B9">
        <v>1020</v>
      </c>
      <c r="C9">
        <f>B2</f>
        <v>375</v>
      </c>
      <c r="D9" s="1">
        <f t="shared" ref="D8:D22" si="0">B9-$B$19</f>
        <v>237.66666666666663</v>
      </c>
      <c r="E9" s="2">
        <f t="shared" ref="E8:E22" si="1">C9-$C$19</f>
        <v>-357.5</v>
      </c>
      <c r="F9" s="2">
        <f t="shared" ref="F8:F16" si="2">D9*E9</f>
        <v>-84965.833333333314</v>
      </c>
      <c r="G9" s="2">
        <f t="shared" ref="G8:H21" si="3">D9*D9</f>
        <v>56485.444444444423</v>
      </c>
      <c r="H9" s="2">
        <f t="shared" si="3"/>
        <v>127806.25</v>
      </c>
    </row>
    <row r="10" spans="1:8" x14ac:dyDescent="0.3">
      <c r="A10">
        <v>9</v>
      </c>
      <c r="B10">
        <v>390</v>
      </c>
      <c r="C10">
        <f t="shared" ref="C10:C17" si="4">B3</f>
        <v>371</v>
      </c>
      <c r="D10" s="1">
        <f t="shared" si="0"/>
        <v>-392.33333333333337</v>
      </c>
      <c r="E10" s="2">
        <f t="shared" si="1"/>
        <v>-361.5</v>
      </c>
      <c r="F10" s="2">
        <f t="shared" si="2"/>
        <v>141828.5</v>
      </c>
      <c r="G10" s="2">
        <f t="shared" si="3"/>
        <v>153925.44444444447</v>
      </c>
      <c r="H10" s="2">
        <f t="shared" si="3"/>
        <v>130682.25</v>
      </c>
    </row>
    <row r="11" spans="1:8" x14ac:dyDescent="0.3">
      <c r="A11">
        <v>10</v>
      </c>
      <c r="B11">
        <v>355</v>
      </c>
      <c r="C11">
        <f t="shared" si="4"/>
        <v>869</v>
      </c>
      <c r="D11" s="1">
        <f t="shared" si="0"/>
        <v>-427.33333333333337</v>
      </c>
      <c r="E11" s="2">
        <f t="shared" si="1"/>
        <v>136.5</v>
      </c>
      <c r="F11" s="2">
        <f t="shared" si="2"/>
        <v>-58331.000000000007</v>
      </c>
      <c r="G11" s="2">
        <f t="shared" si="3"/>
        <v>182613.77777777781</v>
      </c>
      <c r="H11" s="2">
        <f t="shared" si="3"/>
        <v>18632.25</v>
      </c>
    </row>
    <row r="12" spans="1:8" x14ac:dyDescent="0.3">
      <c r="A12">
        <v>11</v>
      </c>
      <c r="B12">
        <v>992</v>
      </c>
      <c r="C12">
        <f t="shared" si="4"/>
        <v>1015</v>
      </c>
      <c r="D12" s="1">
        <f t="shared" si="0"/>
        <v>209.66666666666663</v>
      </c>
      <c r="E12" s="2">
        <f t="shared" si="1"/>
        <v>282.5</v>
      </c>
      <c r="F12" s="2">
        <f t="shared" si="2"/>
        <v>59230.833333333321</v>
      </c>
      <c r="G12" s="2">
        <f t="shared" si="3"/>
        <v>43960.111111111095</v>
      </c>
      <c r="H12" s="2">
        <f t="shared" si="3"/>
        <v>79806.25</v>
      </c>
    </row>
    <row r="13" spans="1:8" x14ac:dyDescent="0.3">
      <c r="A13">
        <v>12</v>
      </c>
      <c r="B13">
        <v>905</v>
      </c>
      <c r="C13">
        <f t="shared" si="4"/>
        <v>357</v>
      </c>
      <c r="D13" s="1">
        <f t="shared" si="0"/>
        <v>122.66666666666663</v>
      </c>
      <c r="E13" s="2">
        <f t="shared" si="1"/>
        <v>-375.5</v>
      </c>
      <c r="F13" s="2">
        <f t="shared" si="2"/>
        <v>-46061.333333333321</v>
      </c>
      <c r="G13" s="2">
        <f t="shared" si="3"/>
        <v>15047.111111111102</v>
      </c>
      <c r="H13" s="2">
        <f t="shared" si="3"/>
        <v>141000.25</v>
      </c>
    </row>
    <row r="14" spans="1:8" x14ac:dyDescent="0.3">
      <c r="A14">
        <v>13</v>
      </c>
      <c r="B14">
        <v>461</v>
      </c>
      <c r="C14">
        <f t="shared" si="4"/>
        <v>471</v>
      </c>
      <c r="D14" s="1">
        <f t="shared" si="0"/>
        <v>-321.33333333333337</v>
      </c>
      <c r="E14" s="2">
        <f t="shared" si="1"/>
        <v>-261.5</v>
      </c>
      <c r="F14" s="2">
        <f t="shared" si="2"/>
        <v>84028.666666666672</v>
      </c>
      <c r="G14" s="2">
        <f t="shared" si="3"/>
        <v>103255.11111111114</v>
      </c>
      <c r="H14" s="2">
        <f t="shared" si="3"/>
        <v>68382.25</v>
      </c>
    </row>
    <row r="15" spans="1:8" x14ac:dyDescent="0.3">
      <c r="A15">
        <v>14</v>
      </c>
      <c r="B15">
        <v>454</v>
      </c>
      <c r="C15">
        <f t="shared" si="4"/>
        <v>992</v>
      </c>
      <c r="D15" s="1">
        <f t="shared" si="0"/>
        <v>-328.33333333333337</v>
      </c>
      <c r="E15" s="2">
        <f t="shared" si="1"/>
        <v>259.5</v>
      </c>
      <c r="F15" s="2">
        <f t="shared" si="2"/>
        <v>-85202.500000000015</v>
      </c>
      <c r="G15" s="2">
        <f t="shared" si="3"/>
        <v>107802.7777777778</v>
      </c>
      <c r="H15" s="2">
        <f t="shared" si="3"/>
        <v>67340.25</v>
      </c>
    </row>
    <row r="16" spans="1:8" x14ac:dyDescent="0.3">
      <c r="A16">
        <v>15</v>
      </c>
      <c r="B16">
        <v>920</v>
      </c>
      <c r="C16">
        <f t="shared" si="4"/>
        <v>1020</v>
      </c>
      <c r="D16" s="1">
        <f t="shared" si="0"/>
        <v>137.66666666666663</v>
      </c>
      <c r="E16" s="2">
        <f t="shared" si="1"/>
        <v>287.5</v>
      </c>
      <c r="F16" s="2">
        <f t="shared" si="2"/>
        <v>39579.166666666657</v>
      </c>
      <c r="G16" s="2">
        <f t="shared" si="3"/>
        <v>18952.111111111102</v>
      </c>
      <c r="H16" s="2">
        <f t="shared" si="3"/>
        <v>82656.25</v>
      </c>
    </row>
    <row r="17" spans="1:8" x14ac:dyDescent="0.3">
      <c r="A17">
        <v>16</v>
      </c>
      <c r="B17">
        <f>927-375</f>
        <v>552</v>
      </c>
      <c r="C17">
        <f t="shared" si="4"/>
        <v>390</v>
      </c>
      <c r="D17" s="1">
        <f t="shared" si="0"/>
        <v>-230.33333333333337</v>
      </c>
      <c r="E17" s="2">
        <f t="shared" si="1"/>
        <v>-342.5</v>
      </c>
      <c r="F17" s="2">
        <f>D17*E17</f>
        <v>78889.166666666686</v>
      </c>
      <c r="G17" s="2">
        <f t="shared" si="3"/>
        <v>53053.44444444446</v>
      </c>
      <c r="H17" s="2">
        <f>E17*E17</f>
        <v>117306.25</v>
      </c>
    </row>
    <row r="18" spans="1:8" x14ac:dyDescent="0.3">
      <c r="A18" t="s">
        <v>0</v>
      </c>
      <c r="B18" s="2">
        <f>SUM(B8:B17)</f>
        <v>7041</v>
      </c>
      <c r="C18" s="2">
        <f>SUM(C9:C17)</f>
        <v>5860</v>
      </c>
      <c r="D18" s="2"/>
      <c r="E18" s="2"/>
      <c r="F18" s="2">
        <f t="shared" ref="F18:H18" si="5">SUM(F2:F17)</f>
        <v>128995.66666666667</v>
      </c>
      <c r="G18" s="2">
        <f t="shared" si="5"/>
        <v>735095.33333333337</v>
      </c>
      <c r="H18" s="2">
        <f t="shared" si="5"/>
        <v>833612.25</v>
      </c>
    </row>
    <row r="19" spans="1:8" x14ac:dyDescent="0.3">
      <c r="A19" t="s">
        <v>1</v>
      </c>
      <c r="B19" s="1">
        <f>B18/(COUNT(B2:B17)-7)</f>
        <v>782.33333333333337</v>
      </c>
      <c r="C19" s="1">
        <f>C18/(COUNTA(C2:C17)-1)</f>
        <v>732.5</v>
      </c>
    </row>
    <row r="22" spans="1:8" x14ac:dyDescent="0.3">
      <c r="A22">
        <f>F18/SQRT(G18*H18)</f>
        <v>0.16478635388406596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5B6-92C6-4CF5-894E-BB75AD541F17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D8" s="1"/>
      <c r="E8" s="2"/>
      <c r="F8" s="2"/>
      <c r="G8" s="2"/>
      <c r="H8" s="2"/>
    </row>
    <row r="9" spans="1:8" x14ac:dyDescent="0.3">
      <c r="A9">
        <v>8</v>
      </c>
      <c r="B9">
        <v>1020</v>
      </c>
      <c r="D9" s="1"/>
      <c r="E9" s="2"/>
      <c r="F9" s="2"/>
      <c r="G9" s="2"/>
      <c r="H9" s="2"/>
    </row>
    <row r="10" spans="1:8" x14ac:dyDescent="0.3">
      <c r="A10">
        <v>9</v>
      </c>
      <c r="B10">
        <v>390</v>
      </c>
      <c r="C10">
        <f>B2</f>
        <v>375</v>
      </c>
      <c r="D10" s="1">
        <f t="shared" ref="D9:D22" si="0">B10-$B$19</f>
        <v>-366.125</v>
      </c>
      <c r="E10" s="2">
        <f t="shared" ref="E9:E22" si="1">C10-$C$19</f>
        <v>-406.42857142857144</v>
      </c>
      <c r="F10" s="2">
        <f t="shared" ref="F9:F16" si="2">D10*E10</f>
        <v>148803.66071428571</v>
      </c>
      <c r="G10" s="2">
        <f t="shared" ref="G9:H22" si="3">D10*D10</f>
        <v>134047.515625</v>
      </c>
      <c r="H10" s="2">
        <f t="shared" si="3"/>
        <v>165184.18367346941</v>
      </c>
    </row>
    <row r="11" spans="1:8" x14ac:dyDescent="0.3">
      <c r="A11">
        <v>10</v>
      </c>
      <c r="B11">
        <v>355</v>
      </c>
      <c r="C11">
        <f t="shared" ref="C11:C17" si="4">B3</f>
        <v>371</v>
      </c>
      <c r="D11" s="1">
        <f t="shared" si="0"/>
        <v>-401.125</v>
      </c>
      <c r="E11" s="2">
        <f t="shared" si="1"/>
        <v>-410.42857142857144</v>
      </c>
      <c r="F11" s="2">
        <f t="shared" si="2"/>
        <v>164633.16071428571</v>
      </c>
      <c r="G11" s="2">
        <f t="shared" si="3"/>
        <v>160901.265625</v>
      </c>
      <c r="H11" s="2">
        <f t="shared" si="3"/>
        <v>168451.61224489796</v>
      </c>
    </row>
    <row r="12" spans="1:8" x14ac:dyDescent="0.3">
      <c r="A12">
        <v>11</v>
      </c>
      <c r="B12">
        <v>992</v>
      </c>
      <c r="C12">
        <f t="shared" si="4"/>
        <v>869</v>
      </c>
      <c r="D12" s="1">
        <f t="shared" si="0"/>
        <v>235.875</v>
      </c>
      <c r="E12" s="2">
        <f t="shared" si="1"/>
        <v>87.571428571428555</v>
      </c>
      <c r="F12" s="2">
        <f t="shared" si="2"/>
        <v>20655.91071428571</v>
      </c>
      <c r="G12" s="2">
        <f t="shared" si="3"/>
        <v>55637.015625</v>
      </c>
      <c r="H12" s="2">
        <f t="shared" si="3"/>
        <v>7668.7551020408137</v>
      </c>
    </row>
    <row r="13" spans="1:8" x14ac:dyDescent="0.3">
      <c r="A13">
        <v>12</v>
      </c>
      <c r="B13">
        <v>905</v>
      </c>
      <c r="C13">
        <f t="shared" si="4"/>
        <v>1015</v>
      </c>
      <c r="D13" s="1">
        <f t="shared" si="0"/>
        <v>148.875</v>
      </c>
      <c r="E13" s="2">
        <f t="shared" si="1"/>
        <v>233.57142857142856</v>
      </c>
      <c r="F13" s="2">
        <f t="shared" si="2"/>
        <v>34772.946428571428</v>
      </c>
      <c r="G13" s="2">
        <f t="shared" si="3"/>
        <v>22163.765625</v>
      </c>
      <c r="H13" s="2">
        <f t="shared" si="3"/>
        <v>54555.612244897951</v>
      </c>
    </row>
    <row r="14" spans="1:8" x14ac:dyDescent="0.3">
      <c r="A14">
        <v>13</v>
      </c>
      <c r="B14">
        <v>461</v>
      </c>
      <c r="C14">
        <f t="shared" si="4"/>
        <v>357</v>
      </c>
      <c r="D14" s="1">
        <f t="shared" si="0"/>
        <v>-295.125</v>
      </c>
      <c r="E14" s="2">
        <f t="shared" si="1"/>
        <v>-424.42857142857144</v>
      </c>
      <c r="F14" s="2">
        <f t="shared" si="2"/>
        <v>125259.48214285714</v>
      </c>
      <c r="G14" s="2">
        <f t="shared" si="3"/>
        <v>87098.765625</v>
      </c>
      <c r="H14" s="2">
        <f t="shared" si="3"/>
        <v>180139.61224489796</v>
      </c>
    </row>
    <row r="15" spans="1:8" x14ac:dyDescent="0.3">
      <c r="A15">
        <v>14</v>
      </c>
      <c r="B15">
        <v>454</v>
      </c>
      <c r="C15">
        <f t="shared" si="4"/>
        <v>471</v>
      </c>
      <c r="D15" s="1">
        <f t="shared" si="0"/>
        <v>-302.125</v>
      </c>
      <c r="E15" s="2">
        <f t="shared" si="1"/>
        <v>-310.42857142857144</v>
      </c>
      <c r="F15" s="2">
        <f t="shared" si="2"/>
        <v>93788.232142857145</v>
      </c>
      <c r="G15" s="2">
        <f t="shared" si="3"/>
        <v>91279.515625</v>
      </c>
      <c r="H15" s="2">
        <f t="shared" si="3"/>
        <v>96365.897959183683</v>
      </c>
    </row>
    <row r="16" spans="1:8" x14ac:dyDescent="0.3">
      <c r="A16">
        <v>15</v>
      </c>
      <c r="B16">
        <v>920</v>
      </c>
      <c r="C16">
        <f t="shared" si="4"/>
        <v>992</v>
      </c>
      <c r="D16" s="1">
        <f t="shared" si="0"/>
        <v>163.875</v>
      </c>
      <c r="E16" s="2">
        <f t="shared" si="1"/>
        <v>210.57142857142856</v>
      </c>
      <c r="F16" s="2">
        <f t="shared" si="2"/>
        <v>34507.392857142855</v>
      </c>
      <c r="G16" s="2">
        <f t="shared" si="3"/>
        <v>26855.015625</v>
      </c>
      <c r="H16" s="2">
        <f t="shared" si="3"/>
        <v>44340.326530612241</v>
      </c>
    </row>
    <row r="17" spans="1:8" x14ac:dyDescent="0.3">
      <c r="A17">
        <v>16</v>
      </c>
      <c r="B17">
        <f>927-375</f>
        <v>552</v>
      </c>
      <c r="C17">
        <f t="shared" si="4"/>
        <v>1020</v>
      </c>
      <c r="D17" s="1">
        <f t="shared" si="0"/>
        <v>-204.125</v>
      </c>
      <c r="E17" s="2">
        <f t="shared" si="1"/>
        <v>238.57142857142856</v>
      </c>
      <c r="F17" s="2">
        <f>D17*E17</f>
        <v>-48698.392857142855</v>
      </c>
      <c r="G17" s="2">
        <f t="shared" si="3"/>
        <v>41667.015625</v>
      </c>
      <c r="H17" s="2">
        <f>E17*E17</f>
        <v>56916.326530612234</v>
      </c>
    </row>
    <row r="18" spans="1:8" x14ac:dyDescent="0.3">
      <c r="A18" t="s">
        <v>0</v>
      </c>
      <c r="B18" s="2">
        <f>SUM(B9:B17)</f>
        <v>6049</v>
      </c>
      <c r="C18" s="2">
        <f>SUM(C10:C17)</f>
        <v>5470</v>
      </c>
      <c r="D18" s="2"/>
      <c r="E18" s="2"/>
      <c r="F18" s="2">
        <f t="shared" ref="F18:H18" si="5">SUM(F2:F17)</f>
        <v>573722.39285714284</v>
      </c>
      <c r="G18" s="2">
        <f t="shared" si="5"/>
        <v>619649.875</v>
      </c>
      <c r="H18" s="2">
        <f t="shared" si="5"/>
        <v>773622.32653061207</v>
      </c>
    </row>
    <row r="19" spans="1:8" x14ac:dyDescent="0.3">
      <c r="A19" t="s">
        <v>1</v>
      </c>
      <c r="B19" s="1">
        <f>B18/(COUNT(B2:B17)-8)</f>
        <v>756.125</v>
      </c>
      <c r="C19" s="1">
        <f>C18/(COUNTA(C2:C17)-1)</f>
        <v>781.42857142857144</v>
      </c>
    </row>
    <row r="22" spans="1:8" x14ac:dyDescent="0.3">
      <c r="A22">
        <f>F18/SQRT(G18*H18)</f>
        <v>0.8286366166406236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95C9-F56F-49B5-8674-82448F215B85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D8" s="1"/>
      <c r="E8" s="2"/>
      <c r="F8" s="2"/>
      <c r="G8" s="2"/>
      <c r="H8" s="2"/>
    </row>
    <row r="9" spans="1:8" x14ac:dyDescent="0.3">
      <c r="A9">
        <v>8</v>
      </c>
      <c r="B9">
        <v>1020</v>
      </c>
      <c r="D9" s="1"/>
      <c r="E9" s="2"/>
      <c r="F9" s="2"/>
      <c r="G9" s="2"/>
      <c r="H9" s="2"/>
    </row>
    <row r="10" spans="1:8" x14ac:dyDescent="0.3">
      <c r="A10">
        <v>9</v>
      </c>
      <c r="B10">
        <v>390</v>
      </c>
      <c r="D10" s="1"/>
      <c r="E10" s="2"/>
      <c r="F10" s="2"/>
      <c r="G10" s="2"/>
      <c r="H10" s="2"/>
    </row>
    <row r="11" spans="1:8" x14ac:dyDescent="0.3">
      <c r="A11">
        <v>10</v>
      </c>
      <c r="B11">
        <v>355</v>
      </c>
      <c r="C11">
        <f>B2</f>
        <v>375</v>
      </c>
      <c r="D11" s="1">
        <f t="shared" ref="D10:D22" si="0">B11-$B$19</f>
        <v>-363.42857142857144</v>
      </c>
      <c r="E11" s="2">
        <f t="shared" ref="E10:E22" si="1">C11-$C$19</f>
        <v>-366.66666666666663</v>
      </c>
      <c r="F11" s="2">
        <f t="shared" ref="F10:F16" si="2">D11*E11</f>
        <v>133257.14285714284</v>
      </c>
      <c r="G11" s="2">
        <f t="shared" ref="G10:H22" si="3">D11*D11</f>
        <v>132080.32653061225</v>
      </c>
      <c r="H11" s="2">
        <f t="shared" si="3"/>
        <v>134444.44444444441</v>
      </c>
    </row>
    <row r="12" spans="1:8" x14ac:dyDescent="0.3">
      <c r="A12">
        <v>11</v>
      </c>
      <c r="B12">
        <v>992</v>
      </c>
      <c r="C12">
        <f t="shared" ref="C12:C17" si="4">B3</f>
        <v>371</v>
      </c>
      <c r="D12" s="1">
        <f t="shared" si="0"/>
        <v>273.57142857142856</v>
      </c>
      <c r="E12" s="2">
        <f t="shared" si="1"/>
        <v>-370.66666666666663</v>
      </c>
      <c r="F12" s="2">
        <f t="shared" si="2"/>
        <v>-101403.80952380951</v>
      </c>
      <c r="G12" s="2">
        <f t="shared" si="3"/>
        <v>74841.326530612234</v>
      </c>
      <c r="H12" s="2">
        <f t="shared" si="3"/>
        <v>137393.77777777775</v>
      </c>
    </row>
    <row r="13" spans="1:8" x14ac:dyDescent="0.3">
      <c r="A13">
        <v>12</v>
      </c>
      <c r="B13">
        <v>905</v>
      </c>
      <c r="C13">
        <f t="shared" si="4"/>
        <v>869</v>
      </c>
      <c r="D13" s="1">
        <f t="shared" si="0"/>
        <v>186.57142857142856</v>
      </c>
      <c r="E13" s="2">
        <f t="shared" si="1"/>
        <v>127.33333333333337</v>
      </c>
      <c r="F13" s="2">
        <f t="shared" si="2"/>
        <v>23756.761904761908</v>
      </c>
      <c r="G13" s="2">
        <f t="shared" si="3"/>
        <v>34808.897959183669</v>
      </c>
      <c r="H13" s="2">
        <f t="shared" si="3"/>
        <v>16213.777777777788</v>
      </c>
    </row>
    <row r="14" spans="1:8" x14ac:dyDescent="0.3">
      <c r="A14">
        <v>13</v>
      </c>
      <c r="B14">
        <v>461</v>
      </c>
      <c r="C14">
        <f t="shared" si="4"/>
        <v>1015</v>
      </c>
      <c r="D14" s="1">
        <f t="shared" si="0"/>
        <v>-257.42857142857144</v>
      </c>
      <c r="E14" s="2">
        <f t="shared" si="1"/>
        <v>273.33333333333337</v>
      </c>
      <c r="F14" s="2">
        <f t="shared" si="2"/>
        <v>-70363.809523809541</v>
      </c>
      <c r="G14" s="2">
        <f t="shared" si="3"/>
        <v>66269.469387755104</v>
      </c>
      <c r="H14" s="2">
        <f t="shared" si="3"/>
        <v>74711.111111111139</v>
      </c>
    </row>
    <row r="15" spans="1:8" x14ac:dyDescent="0.3">
      <c r="A15">
        <v>14</v>
      </c>
      <c r="B15">
        <v>454</v>
      </c>
      <c r="C15">
        <f t="shared" si="4"/>
        <v>357</v>
      </c>
      <c r="D15" s="1">
        <f t="shared" si="0"/>
        <v>-264.42857142857144</v>
      </c>
      <c r="E15" s="2">
        <f t="shared" si="1"/>
        <v>-384.66666666666663</v>
      </c>
      <c r="F15" s="2">
        <f t="shared" si="2"/>
        <v>101716.85714285714</v>
      </c>
      <c r="G15" s="2">
        <f t="shared" si="3"/>
        <v>69922.469387755104</v>
      </c>
      <c r="H15" s="2">
        <f t="shared" si="3"/>
        <v>147968.44444444441</v>
      </c>
    </row>
    <row r="16" spans="1:8" x14ac:dyDescent="0.3">
      <c r="A16">
        <v>15</v>
      </c>
      <c r="B16">
        <v>920</v>
      </c>
      <c r="C16">
        <f t="shared" si="4"/>
        <v>471</v>
      </c>
      <c r="D16" s="1">
        <f t="shared" si="0"/>
        <v>201.57142857142856</v>
      </c>
      <c r="E16" s="2">
        <f t="shared" si="1"/>
        <v>-270.66666666666663</v>
      </c>
      <c r="F16" s="2">
        <f t="shared" si="2"/>
        <v>-54558.666666666657</v>
      </c>
      <c r="G16" s="2">
        <f t="shared" si="3"/>
        <v>40631.040816326524</v>
      </c>
      <c r="H16" s="2">
        <f t="shared" si="3"/>
        <v>73260.444444444423</v>
      </c>
    </row>
    <row r="17" spans="1:8" x14ac:dyDescent="0.3">
      <c r="A17">
        <v>16</v>
      </c>
      <c r="B17">
        <f>927-375</f>
        <v>552</v>
      </c>
      <c r="C17">
        <f t="shared" si="4"/>
        <v>992</v>
      </c>
      <c r="D17" s="1">
        <f t="shared" si="0"/>
        <v>-166.42857142857144</v>
      </c>
      <c r="E17" s="2">
        <f t="shared" si="1"/>
        <v>250.33333333333337</v>
      </c>
      <c r="F17" s="2">
        <f>D17*E17</f>
        <v>-41662.61904761906</v>
      </c>
      <c r="G17" s="2">
        <f t="shared" si="3"/>
        <v>27698.469387755107</v>
      </c>
      <c r="H17" s="2">
        <f>E17*E17</f>
        <v>62666.777777777796</v>
      </c>
    </row>
    <row r="18" spans="1:8" x14ac:dyDescent="0.3">
      <c r="A18" t="s">
        <v>0</v>
      </c>
      <c r="B18" s="2">
        <f>SUM(B10:B17)</f>
        <v>5029</v>
      </c>
      <c r="C18" s="2">
        <f>SUM(C11:C17)</f>
        <v>4450</v>
      </c>
      <c r="D18" s="2"/>
      <c r="E18" s="2"/>
      <c r="F18" s="2">
        <f t="shared" ref="F18:H18" si="5">SUM(F2:F17)</f>
        <v>-9258.1428571428769</v>
      </c>
      <c r="G18" s="2">
        <f t="shared" si="5"/>
        <v>446251.99999999994</v>
      </c>
      <c r="H18" s="2">
        <f t="shared" si="5"/>
        <v>646658.77777777764</v>
      </c>
    </row>
    <row r="19" spans="1:8" x14ac:dyDescent="0.3">
      <c r="A19" t="s">
        <v>1</v>
      </c>
      <c r="B19" s="1">
        <f>B18/(COUNT(B2:B17)-9)</f>
        <v>718.42857142857144</v>
      </c>
      <c r="C19" s="1">
        <f>C18/(COUNTA(C2:C17)-1)</f>
        <v>741.66666666666663</v>
      </c>
    </row>
    <row r="22" spans="1:8" x14ac:dyDescent="0.3">
      <c r="A22">
        <f>F18/SQRT(G18*H18)</f>
        <v>-1.7234401313619047E-2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BC5F-DDD7-4E8D-8984-DD35B850F495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D8" s="1"/>
      <c r="E8" s="2"/>
      <c r="F8" s="2"/>
      <c r="G8" s="2"/>
      <c r="H8" s="2"/>
    </row>
    <row r="9" spans="1:8" x14ac:dyDescent="0.3">
      <c r="A9">
        <v>8</v>
      </c>
      <c r="B9">
        <v>1020</v>
      </c>
      <c r="D9" s="1"/>
      <c r="E9" s="2"/>
      <c r="F9" s="2"/>
      <c r="G9" s="2"/>
      <c r="H9" s="2"/>
    </row>
    <row r="10" spans="1:8" x14ac:dyDescent="0.3">
      <c r="A10">
        <v>9</v>
      </c>
      <c r="B10">
        <v>390</v>
      </c>
      <c r="D10" s="1"/>
      <c r="E10" s="2"/>
      <c r="F10" s="2"/>
      <c r="G10" s="2"/>
      <c r="H10" s="2"/>
    </row>
    <row r="11" spans="1:8" x14ac:dyDescent="0.3">
      <c r="A11">
        <v>10</v>
      </c>
      <c r="B11">
        <v>355</v>
      </c>
      <c r="D11" s="1"/>
      <c r="E11" s="2"/>
      <c r="F11" s="2"/>
      <c r="G11" s="2"/>
      <c r="H11" s="2"/>
    </row>
    <row r="12" spans="1:8" x14ac:dyDescent="0.3">
      <c r="A12">
        <v>11</v>
      </c>
      <c r="B12">
        <v>992</v>
      </c>
      <c r="C12">
        <f>B2</f>
        <v>375</v>
      </c>
      <c r="D12" s="1">
        <f t="shared" ref="D11:D22" si="0">B12-$B$19</f>
        <v>218.83333333333337</v>
      </c>
      <c r="E12" s="2">
        <f t="shared" ref="E11:E22" si="1">C12-$C$19</f>
        <v>-316.60000000000002</v>
      </c>
      <c r="F12" s="2">
        <f t="shared" ref="F11:F16" si="2">D12*E12</f>
        <v>-69282.633333333346</v>
      </c>
      <c r="G12" s="2">
        <f t="shared" ref="G11:H22" si="3">D12*D12</f>
        <v>47888.027777777796</v>
      </c>
      <c r="H12" s="2">
        <f t="shared" si="3"/>
        <v>100235.56000000001</v>
      </c>
    </row>
    <row r="13" spans="1:8" x14ac:dyDescent="0.3">
      <c r="A13">
        <v>12</v>
      </c>
      <c r="B13">
        <v>905</v>
      </c>
      <c r="C13">
        <f t="shared" ref="C13:C17" si="4">B3</f>
        <v>371</v>
      </c>
      <c r="D13" s="1">
        <f t="shared" si="0"/>
        <v>131.83333333333337</v>
      </c>
      <c r="E13" s="2">
        <f t="shared" si="1"/>
        <v>-320.60000000000002</v>
      </c>
      <c r="F13" s="2">
        <f t="shared" si="2"/>
        <v>-42265.766666666685</v>
      </c>
      <c r="G13" s="2">
        <f t="shared" si="3"/>
        <v>17380.027777777788</v>
      </c>
      <c r="H13" s="2">
        <f t="shared" si="3"/>
        <v>102784.36000000002</v>
      </c>
    </row>
    <row r="14" spans="1:8" x14ac:dyDescent="0.3">
      <c r="A14">
        <v>13</v>
      </c>
      <c r="B14">
        <v>461</v>
      </c>
      <c r="C14">
        <f t="shared" si="4"/>
        <v>869</v>
      </c>
      <c r="D14" s="1">
        <f t="shared" si="0"/>
        <v>-312.16666666666663</v>
      </c>
      <c r="E14" s="2">
        <f t="shared" si="1"/>
        <v>177.39999999999998</v>
      </c>
      <c r="F14" s="2">
        <f t="shared" si="2"/>
        <v>-55378.366666666654</v>
      </c>
      <c r="G14" s="2">
        <f t="shared" si="3"/>
        <v>97448.027777777752</v>
      </c>
      <c r="H14" s="2">
        <f t="shared" si="3"/>
        <v>31470.759999999991</v>
      </c>
    </row>
    <row r="15" spans="1:8" x14ac:dyDescent="0.3">
      <c r="A15">
        <v>14</v>
      </c>
      <c r="B15">
        <v>454</v>
      </c>
      <c r="C15">
        <f t="shared" si="4"/>
        <v>1015</v>
      </c>
      <c r="D15" s="1">
        <f t="shared" si="0"/>
        <v>-319.16666666666663</v>
      </c>
      <c r="E15" s="2">
        <f t="shared" si="1"/>
        <v>323.39999999999998</v>
      </c>
      <c r="F15" s="2">
        <f t="shared" si="2"/>
        <v>-103218.49999999999</v>
      </c>
      <c r="G15" s="2">
        <f t="shared" si="3"/>
        <v>101867.36111111108</v>
      </c>
      <c r="H15" s="2">
        <f t="shared" si="3"/>
        <v>104587.55999999998</v>
      </c>
    </row>
    <row r="16" spans="1:8" x14ac:dyDescent="0.3">
      <c r="A16">
        <v>15</v>
      </c>
      <c r="B16">
        <v>920</v>
      </c>
      <c r="C16">
        <f t="shared" si="4"/>
        <v>357</v>
      </c>
      <c r="D16" s="1">
        <f t="shared" si="0"/>
        <v>146.83333333333337</v>
      </c>
      <c r="E16" s="2">
        <f t="shared" si="1"/>
        <v>-334.6</v>
      </c>
      <c r="F16" s="2">
        <f t="shared" si="2"/>
        <v>-49130.433333333349</v>
      </c>
      <c r="G16" s="2">
        <f t="shared" si="3"/>
        <v>21560.027777777788</v>
      </c>
      <c r="H16" s="2">
        <f t="shared" si="3"/>
        <v>111957.16000000002</v>
      </c>
    </row>
    <row r="17" spans="1:8" x14ac:dyDescent="0.3">
      <c r="A17">
        <v>16</v>
      </c>
      <c r="B17">
        <f>927-375</f>
        <v>552</v>
      </c>
      <c r="C17">
        <f t="shared" si="4"/>
        <v>471</v>
      </c>
      <c r="D17" s="1">
        <f t="shared" si="0"/>
        <v>-221.16666666666663</v>
      </c>
      <c r="E17" s="2">
        <f t="shared" si="1"/>
        <v>-220.60000000000002</v>
      </c>
      <c r="F17" s="2">
        <f>D17*E17</f>
        <v>48789.366666666661</v>
      </c>
      <c r="G17" s="2">
        <f t="shared" si="3"/>
        <v>48914.694444444431</v>
      </c>
      <c r="H17" s="2">
        <f>E17*E17</f>
        <v>48664.360000000008</v>
      </c>
    </row>
    <row r="18" spans="1:8" x14ac:dyDescent="0.3">
      <c r="A18" t="s">
        <v>0</v>
      </c>
      <c r="B18" s="2">
        <f>SUM(B11:B17)</f>
        <v>4639</v>
      </c>
      <c r="C18" s="2">
        <f>SUM(C12:C17)</f>
        <v>3458</v>
      </c>
      <c r="D18" s="2"/>
      <c r="E18" s="2"/>
      <c r="F18" s="2">
        <f t="shared" ref="F18:H18" si="5">SUM(F2:F17)</f>
        <v>-270486.33333333337</v>
      </c>
      <c r="G18" s="2">
        <f t="shared" si="5"/>
        <v>335058.16666666669</v>
      </c>
      <c r="H18" s="2">
        <f t="shared" si="5"/>
        <v>499699.76</v>
      </c>
    </row>
    <row r="19" spans="1:8" x14ac:dyDescent="0.3">
      <c r="A19" t="s">
        <v>1</v>
      </c>
      <c r="B19" s="1">
        <f>B18/(COUNT(B2:B17)-10)</f>
        <v>773.16666666666663</v>
      </c>
      <c r="C19" s="1">
        <f>C18/(COUNTA(C2:C17)-1)</f>
        <v>691.6</v>
      </c>
    </row>
    <row r="22" spans="1:8" x14ac:dyDescent="0.3">
      <c r="A22">
        <f>F18/SQRT(G18*H18)</f>
        <v>-0.66104443331277052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9D5D-D28E-4009-9B69-022E4A7C0AD9}">
  <dimension ref="A1:H22"/>
  <sheetViews>
    <sheetView workbookViewId="0">
      <selection activeCell="C20" sqref="C20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D8" s="1"/>
      <c r="E8" s="2"/>
      <c r="F8" s="2"/>
      <c r="G8" s="2"/>
      <c r="H8" s="2"/>
    </row>
    <row r="9" spans="1:8" x14ac:dyDescent="0.3">
      <c r="A9">
        <v>8</v>
      </c>
      <c r="B9">
        <v>1020</v>
      </c>
      <c r="D9" s="1"/>
      <c r="E9" s="2"/>
      <c r="F9" s="2"/>
      <c r="G9" s="2"/>
      <c r="H9" s="2"/>
    </row>
    <row r="10" spans="1:8" x14ac:dyDescent="0.3">
      <c r="A10">
        <v>9</v>
      </c>
      <c r="B10">
        <v>390</v>
      </c>
      <c r="D10" s="1"/>
      <c r="E10" s="2"/>
      <c r="F10" s="2"/>
      <c r="G10" s="2"/>
      <c r="H10" s="2"/>
    </row>
    <row r="11" spans="1:8" x14ac:dyDescent="0.3">
      <c r="A11">
        <v>10</v>
      </c>
      <c r="B11">
        <v>355</v>
      </c>
      <c r="D11" s="1"/>
      <c r="E11" s="2"/>
      <c r="F11" s="2"/>
      <c r="G11" s="2"/>
      <c r="H11" s="2"/>
    </row>
    <row r="12" spans="1:8" x14ac:dyDescent="0.3">
      <c r="A12">
        <v>11</v>
      </c>
      <c r="B12">
        <v>992</v>
      </c>
      <c r="D12" s="1"/>
      <c r="E12" s="2"/>
      <c r="F12" s="2"/>
      <c r="G12" s="2"/>
      <c r="H12" s="2"/>
    </row>
    <row r="13" spans="1:8" x14ac:dyDescent="0.3">
      <c r="A13">
        <v>12</v>
      </c>
      <c r="B13">
        <v>905</v>
      </c>
      <c r="C13">
        <f>B2</f>
        <v>375</v>
      </c>
      <c r="D13" s="1">
        <f t="shared" ref="D12:D22" si="0">B13-$B$19</f>
        <v>48.200000000000045</v>
      </c>
      <c r="E13" s="2">
        <f t="shared" ref="E12:E22" si="1">C13-$C$19</f>
        <v>-371.75</v>
      </c>
      <c r="F13" s="2">
        <f t="shared" ref="F12:F16" si="2">D13*E13</f>
        <v>-17918.350000000017</v>
      </c>
      <c r="G13" s="2">
        <f t="shared" ref="G12:H22" si="3">D13*D13</f>
        <v>2323.2400000000043</v>
      </c>
      <c r="H13" s="2">
        <f t="shared" si="3"/>
        <v>138198.0625</v>
      </c>
    </row>
    <row r="14" spans="1:8" x14ac:dyDescent="0.3">
      <c r="A14">
        <v>13</v>
      </c>
      <c r="B14">
        <v>461</v>
      </c>
      <c r="C14">
        <f t="shared" ref="C14:C17" si="4">B3</f>
        <v>371</v>
      </c>
      <c r="D14" s="1">
        <f t="shared" si="0"/>
        <v>-395.79999999999995</v>
      </c>
      <c r="E14" s="2">
        <f t="shared" si="1"/>
        <v>-375.75</v>
      </c>
      <c r="F14" s="2">
        <f t="shared" si="2"/>
        <v>148721.84999999998</v>
      </c>
      <c r="G14" s="2">
        <f t="shared" si="3"/>
        <v>156657.63999999996</v>
      </c>
      <c r="H14" s="2">
        <f t="shared" si="3"/>
        <v>141188.0625</v>
      </c>
    </row>
    <row r="15" spans="1:8" x14ac:dyDescent="0.3">
      <c r="A15">
        <v>14</v>
      </c>
      <c r="B15">
        <v>454</v>
      </c>
      <c r="C15">
        <f t="shared" si="4"/>
        <v>869</v>
      </c>
      <c r="D15" s="1">
        <f t="shared" si="0"/>
        <v>-402.79999999999995</v>
      </c>
      <c r="E15" s="2">
        <f t="shared" si="1"/>
        <v>122.25</v>
      </c>
      <c r="F15" s="2">
        <f t="shared" si="2"/>
        <v>-49242.299999999996</v>
      </c>
      <c r="G15" s="2">
        <f t="shared" si="3"/>
        <v>162247.83999999997</v>
      </c>
      <c r="H15" s="2">
        <f t="shared" si="3"/>
        <v>14945.0625</v>
      </c>
    </row>
    <row r="16" spans="1:8" x14ac:dyDescent="0.3">
      <c r="A16">
        <v>15</v>
      </c>
      <c r="B16">
        <v>920</v>
      </c>
      <c r="C16">
        <f t="shared" si="4"/>
        <v>1015</v>
      </c>
      <c r="D16" s="1">
        <f t="shared" si="0"/>
        <v>63.200000000000045</v>
      </c>
      <c r="E16" s="2">
        <f t="shared" si="1"/>
        <v>268.25</v>
      </c>
      <c r="F16" s="2">
        <f t="shared" si="2"/>
        <v>16953.400000000012</v>
      </c>
      <c r="G16" s="2">
        <f t="shared" si="3"/>
        <v>3994.2400000000057</v>
      </c>
      <c r="H16" s="2">
        <f t="shared" si="3"/>
        <v>71958.0625</v>
      </c>
    </row>
    <row r="17" spans="1:8" x14ac:dyDescent="0.3">
      <c r="A17">
        <v>16</v>
      </c>
      <c r="B17">
        <f>927-375</f>
        <v>552</v>
      </c>
      <c r="C17">
        <f t="shared" si="4"/>
        <v>357</v>
      </c>
      <c r="D17" s="1">
        <f t="shared" si="0"/>
        <v>-304.79999999999995</v>
      </c>
      <c r="E17" s="2">
        <f t="shared" si="1"/>
        <v>-389.75</v>
      </c>
      <c r="F17" s="2">
        <f>D17*E17</f>
        <v>118795.79999999999</v>
      </c>
      <c r="G17" s="2">
        <f t="shared" si="3"/>
        <v>92903.039999999979</v>
      </c>
      <c r="H17" s="2">
        <f>E17*E17</f>
        <v>151905.0625</v>
      </c>
    </row>
    <row r="18" spans="1:8" x14ac:dyDescent="0.3">
      <c r="A18" t="s">
        <v>0</v>
      </c>
      <c r="B18" s="2">
        <f>SUM(B12:B17)</f>
        <v>4284</v>
      </c>
      <c r="C18" s="2">
        <f>SUM(C13:C17)</f>
        <v>2987</v>
      </c>
      <c r="D18" s="2"/>
      <c r="E18" s="2"/>
      <c r="F18" s="2">
        <f t="shared" ref="F18:H18" si="5">SUM(F2:F17)</f>
        <v>217310.39999999997</v>
      </c>
      <c r="G18" s="2">
        <f t="shared" si="5"/>
        <v>418125.99999999988</v>
      </c>
      <c r="H18" s="2">
        <f t="shared" si="5"/>
        <v>518194.3125</v>
      </c>
    </row>
    <row r="19" spans="1:8" x14ac:dyDescent="0.3">
      <c r="A19" t="s">
        <v>1</v>
      </c>
      <c r="B19" s="1">
        <f>B18/(COUNT(B2:B17)-11)</f>
        <v>856.8</v>
      </c>
      <c r="C19" s="1">
        <f>C18/(COUNTA(C2:C17)-1)</f>
        <v>746.75</v>
      </c>
    </row>
    <row r="22" spans="1:8" x14ac:dyDescent="0.3">
      <c r="A22">
        <f>F18/SQRT(G18*H18)</f>
        <v>0.46685348305398128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6996-DDF7-482C-B574-8B284B7AE639}">
  <dimension ref="A1:H22"/>
  <sheetViews>
    <sheetView workbookViewId="0">
      <selection sqref="A1:B17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</row>
    <row r="2" spans="1:8" x14ac:dyDescent="0.3">
      <c r="A2">
        <v>1</v>
      </c>
      <c r="B2">
        <v>375</v>
      </c>
      <c r="D2" s="2"/>
    </row>
    <row r="3" spans="1:8" x14ac:dyDescent="0.3">
      <c r="A3">
        <v>2</v>
      </c>
      <c r="B3">
        <v>371</v>
      </c>
      <c r="D3" s="1"/>
      <c r="E3" s="2"/>
      <c r="F3" s="2"/>
      <c r="G3" s="2"/>
      <c r="H3" s="2"/>
    </row>
    <row r="4" spans="1:8" x14ac:dyDescent="0.3">
      <c r="A4">
        <v>3</v>
      </c>
      <c r="B4">
        <v>869</v>
      </c>
      <c r="D4" s="1"/>
      <c r="E4" s="2"/>
      <c r="F4" s="2"/>
      <c r="G4" s="2"/>
      <c r="H4" s="2"/>
    </row>
    <row r="5" spans="1:8" x14ac:dyDescent="0.3">
      <c r="A5">
        <v>4</v>
      </c>
      <c r="B5">
        <v>1015</v>
      </c>
      <c r="D5" s="1"/>
      <c r="E5" s="2"/>
      <c r="F5" s="2"/>
      <c r="G5" s="2"/>
      <c r="H5" s="2"/>
    </row>
    <row r="6" spans="1:8" x14ac:dyDescent="0.3">
      <c r="A6">
        <v>5</v>
      </c>
      <c r="B6">
        <v>357</v>
      </c>
      <c r="D6" s="1"/>
      <c r="E6" s="2"/>
      <c r="F6" s="2"/>
      <c r="G6" s="2"/>
      <c r="H6" s="2"/>
    </row>
    <row r="7" spans="1:8" x14ac:dyDescent="0.3">
      <c r="A7">
        <v>6</v>
      </c>
      <c r="B7">
        <v>471</v>
      </c>
      <c r="D7" s="1"/>
      <c r="E7" s="2"/>
      <c r="F7" s="2"/>
      <c r="G7" s="2"/>
      <c r="H7" s="2"/>
    </row>
    <row r="8" spans="1:8" x14ac:dyDescent="0.3">
      <c r="A8">
        <v>7</v>
      </c>
      <c r="B8">
        <v>992</v>
      </c>
      <c r="D8" s="1"/>
      <c r="E8" s="2"/>
      <c r="F8" s="2"/>
      <c r="G8" s="2"/>
      <c r="H8" s="2"/>
    </row>
    <row r="9" spans="1:8" x14ac:dyDescent="0.3">
      <c r="A9">
        <v>8</v>
      </c>
      <c r="B9">
        <v>1020</v>
      </c>
      <c r="D9" s="1"/>
      <c r="E9" s="2"/>
      <c r="F9" s="2"/>
      <c r="G9" s="2"/>
      <c r="H9" s="2"/>
    </row>
    <row r="10" spans="1:8" x14ac:dyDescent="0.3">
      <c r="A10">
        <v>9</v>
      </c>
      <c r="B10">
        <v>390</v>
      </c>
      <c r="D10" s="1"/>
      <c r="E10" s="2"/>
      <c r="F10" s="2"/>
      <c r="G10" s="2"/>
      <c r="H10" s="2"/>
    </row>
    <row r="11" spans="1:8" x14ac:dyDescent="0.3">
      <c r="A11">
        <v>10</v>
      </c>
      <c r="B11">
        <v>355</v>
      </c>
      <c r="D11" s="1"/>
      <c r="E11" s="2"/>
      <c r="F11" s="2"/>
      <c r="G11" s="2"/>
      <c r="H11" s="2"/>
    </row>
    <row r="12" spans="1:8" x14ac:dyDescent="0.3">
      <c r="A12">
        <v>11</v>
      </c>
      <c r="B12">
        <v>992</v>
      </c>
      <c r="D12" s="1"/>
      <c r="E12" s="2"/>
      <c r="F12" s="2"/>
      <c r="G12" s="2"/>
      <c r="H12" s="2"/>
    </row>
    <row r="13" spans="1:8" x14ac:dyDescent="0.3">
      <c r="A13">
        <v>12</v>
      </c>
      <c r="B13">
        <v>905</v>
      </c>
      <c r="D13" s="1"/>
      <c r="E13" s="2"/>
      <c r="F13" s="2"/>
      <c r="G13" s="2"/>
      <c r="H13" s="2"/>
    </row>
    <row r="14" spans="1:8" x14ac:dyDescent="0.3">
      <c r="A14">
        <v>13</v>
      </c>
      <c r="B14">
        <v>461</v>
      </c>
      <c r="C14">
        <f>B2</f>
        <v>375</v>
      </c>
      <c r="D14" s="1">
        <f t="shared" ref="D13:D22" si="0">B14-$B$19</f>
        <v>-362</v>
      </c>
      <c r="E14" s="2">
        <f t="shared" ref="E13:E22" si="1">C14-$C$19</f>
        <v>-501.66666666666663</v>
      </c>
      <c r="F14" s="2">
        <f t="shared" ref="F13:F16" si="2">D14*E14</f>
        <v>181603.33333333331</v>
      </c>
      <c r="G14" s="2">
        <f t="shared" ref="G13:H22" si="3">D14*D14</f>
        <v>131044</v>
      </c>
      <c r="H14" s="2">
        <f t="shared" si="3"/>
        <v>251669.44444444441</v>
      </c>
    </row>
    <row r="15" spans="1:8" x14ac:dyDescent="0.3">
      <c r="A15">
        <v>14</v>
      </c>
      <c r="B15">
        <v>454</v>
      </c>
      <c r="C15">
        <f t="shared" ref="C15:C17" si="4">B3</f>
        <v>371</v>
      </c>
      <c r="D15" s="1">
        <f t="shared" si="0"/>
        <v>-369</v>
      </c>
      <c r="E15" s="2">
        <f t="shared" si="1"/>
        <v>-505.66666666666663</v>
      </c>
      <c r="F15" s="2">
        <f t="shared" si="2"/>
        <v>186591</v>
      </c>
      <c r="G15" s="2">
        <f t="shared" si="3"/>
        <v>136161</v>
      </c>
      <c r="H15" s="2">
        <f t="shared" si="3"/>
        <v>255698.77777777775</v>
      </c>
    </row>
    <row r="16" spans="1:8" x14ac:dyDescent="0.3">
      <c r="A16">
        <v>15</v>
      </c>
      <c r="B16">
        <v>920</v>
      </c>
      <c r="C16">
        <f t="shared" si="4"/>
        <v>869</v>
      </c>
      <c r="D16" s="1">
        <f t="shared" si="0"/>
        <v>97</v>
      </c>
      <c r="E16" s="2">
        <f t="shared" si="1"/>
        <v>-7.6666666666666288</v>
      </c>
      <c r="F16" s="2">
        <f t="shared" si="2"/>
        <v>-743.66666666666299</v>
      </c>
      <c r="G16" s="2">
        <f t="shared" si="3"/>
        <v>9409</v>
      </c>
      <c r="H16" s="2">
        <f t="shared" si="3"/>
        <v>58.777777777777196</v>
      </c>
    </row>
    <row r="17" spans="1:8" x14ac:dyDescent="0.3">
      <c r="A17">
        <v>16</v>
      </c>
      <c r="B17">
        <f>927-375</f>
        <v>552</v>
      </c>
      <c r="C17">
        <f t="shared" si="4"/>
        <v>1015</v>
      </c>
      <c r="D17" s="1">
        <f t="shared" si="0"/>
        <v>-271</v>
      </c>
      <c r="E17" s="2">
        <f t="shared" si="1"/>
        <v>138.33333333333337</v>
      </c>
      <c r="F17" s="2">
        <f>D17*E17</f>
        <v>-37488.333333333343</v>
      </c>
      <c r="G17" s="2">
        <f t="shared" si="3"/>
        <v>73441</v>
      </c>
      <c r="H17" s="2">
        <f>E17*E17</f>
        <v>19136.11111111112</v>
      </c>
    </row>
    <row r="18" spans="1:8" x14ac:dyDescent="0.3">
      <c r="A18" t="s">
        <v>0</v>
      </c>
      <c r="B18" s="2">
        <f>SUM(B13:B17)</f>
        <v>3292</v>
      </c>
      <c r="C18" s="2">
        <f>SUM(C14:C17)</f>
        <v>2630</v>
      </c>
      <c r="D18" s="2"/>
      <c r="E18" s="2"/>
      <c r="F18" s="2">
        <f t="shared" ref="F18:H18" si="5">SUM(F2:F17)</f>
        <v>329962.33333333326</v>
      </c>
      <c r="G18" s="2">
        <f t="shared" si="5"/>
        <v>350055</v>
      </c>
      <c r="H18" s="2">
        <f t="shared" si="5"/>
        <v>526563.11111111101</v>
      </c>
    </row>
    <row r="19" spans="1:8" x14ac:dyDescent="0.3">
      <c r="A19" t="s">
        <v>1</v>
      </c>
      <c r="B19" s="1">
        <f>B18/(COUNT(B2:B17)-12)</f>
        <v>823</v>
      </c>
      <c r="C19" s="1">
        <f>C18/(COUNTA(C2:C17)-1)</f>
        <v>876.66666666666663</v>
      </c>
    </row>
    <row r="22" spans="1:8" x14ac:dyDescent="0.3">
      <c r="A22">
        <f>F18/SQRT(G18*H18)</f>
        <v>0.76854801988871413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7FA-1157-4E16-A34F-F5A92B1BD94C}">
  <dimension ref="A1:M17"/>
  <sheetViews>
    <sheetView tabSelected="1" workbookViewId="0">
      <selection activeCell="P24" sqref="P24"/>
    </sheetView>
  </sheetViews>
  <sheetFormatPr defaultRowHeight="14.4" x14ac:dyDescent="0.3"/>
  <sheetData>
    <row r="1" spans="1:13" x14ac:dyDescent="0.3">
      <c r="A1" s="5" t="s">
        <v>2</v>
      </c>
      <c r="B1" s="5" t="s">
        <v>3</v>
      </c>
      <c r="L1" s="3" t="s">
        <v>2</v>
      </c>
      <c r="M1" s="3" t="s">
        <v>12</v>
      </c>
    </row>
    <row r="2" spans="1:13" x14ac:dyDescent="0.3">
      <c r="A2" s="5">
        <v>1</v>
      </c>
      <c r="B2" s="5">
        <v>375</v>
      </c>
      <c r="L2" s="5">
        <v>1</v>
      </c>
      <c r="M2" s="5">
        <f>Лаг1!A22</f>
        <v>-3.8215809737342905E-3</v>
      </c>
    </row>
    <row r="3" spans="1:13" x14ac:dyDescent="0.3">
      <c r="A3" s="5">
        <v>2</v>
      </c>
      <c r="B3" s="5">
        <v>371</v>
      </c>
      <c r="L3" s="5">
        <v>2</v>
      </c>
      <c r="M3" s="5">
        <f>Лаг2!A22</f>
        <v>-0.86956177517014699</v>
      </c>
    </row>
    <row r="4" spans="1:13" x14ac:dyDescent="0.3">
      <c r="A4" s="5">
        <v>3</v>
      </c>
      <c r="B4" s="5">
        <v>869</v>
      </c>
      <c r="L4" s="5">
        <v>3</v>
      </c>
      <c r="M4" s="5">
        <f>Лаг3!A22</f>
        <v>7.8081863641437307E-2</v>
      </c>
    </row>
    <row r="5" spans="1:13" x14ac:dyDescent="0.3">
      <c r="A5" s="5">
        <v>4</v>
      </c>
      <c r="B5" s="5">
        <v>1015</v>
      </c>
      <c r="L5" s="5">
        <v>4</v>
      </c>
      <c r="M5" s="5">
        <f>Лаг4!A22</f>
        <v>0.90366285232395505</v>
      </c>
    </row>
    <row r="6" spans="1:13" x14ac:dyDescent="0.3">
      <c r="A6" s="5">
        <v>5</v>
      </c>
      <c r="B6" s="5">
        <v>357</v>
      </c>
      <c r="L6" s="5">
        <v>5</v>
      </c>
      <c r="M6" s="5">
        <f>Лаг5!A22</f>
        <v>-6.5205972317663147E-2</v>
      </c>
    </row>
    <row r="7" spans="1:13" x14ac:dyDescent="0.3">
      <c r="A7" s="5">
        <v>6</v>
      </c>
      <c r="B7" s="5">
        <v>471</v>
      </c>
      <c r="L7" s="5">
        <v>6</v>
      </c>
      <c r="M7" s="5">
        <f>Лаг6!A22</f>
        <v>-0.78180799406461832</v>
      </c>
    </row>
    <row r="8" spans="1:13" x14ac:dyDescent="0.3">
      <c r="A8" s="5">
        <v>7</v>
      </c>
      <c r="B8" s="5">
        <v>992</v>
      </c>
      <c r="L8" s="5">
        <v>7</v>
      </c>
      <c r="M8" s="5">
        <f>Лаг7!A22</f>
        <v>0.16478635388406596</v>
      </c>
    </row>
    <row r="9" spans="1:13" x14ac:dyDescent="0.3">
      <c r="A9" s="5">
        <v>8</v>
      </c>
      <c r="B9" s="5">
        <v>1020</v>
      </c>
      <c r="L9" s="5">
        <v>8</v>
      </c>
      <c r="M9" s="5">
        <f>Лаг8!A22</f>
        <v>0.8286366166406236</v>
      </c>
    </row>
    <row r="10" spans="1:13" x14ac:dyDescent="0.3">
      <c r="A10" s="5">
        <v>9</v>
      </c>
      <c r="B10" s="5">
        <v>390</v>
      </c>
      <c r="L10" s="5">
        <v>9</v>
      </c>
      <c r="M10" s="5">
        <f>Лаг9!A22</f>
        <v>-1.7234401313619047E-2</v>
      </c>
    </row>
    <row r="11" spans="1:13" x14ac:dyDescent="0.3">
      <c r="A11" s="5">
        <v>10</v>
      </c>
      <c r="B11" s="5">
        <v>355</v>
      </c>
      <c r="L11" s="5">
        <v>10</v>
      </c>
      <c r="M11" s="5">
        <f>Лаг10!A22</f>
        <v>-0.66104443331277052</v>
      </c>
    </row>
    <row r="12" spans="1:13" x14ac:dyDescent="0.3">
      <c r="A12" s="5">
        <v>11</v>
      </c>
      <c r="B12" s="5">
        <v>992</v>
      </c>
      <c r="L12" s="5">
        <v>11</v>
      </c>
      <c r="M12" s="5">
        <f>Лаг11!A22</f>
        <v>0.46685348305398128</v>
      </c>
    </row>
    <row r="13" spans="1:13" x14ac:dyDescent="0.3">
      <c r="A13" s="5">
        <v>12</v>
      </c>
      <c r="B13" s="5">
        <v>905</v>
      </c>
      <c r="L13" s="5">
        <v>12</v>
      </c>
      <c r="M13" s="5">
        <f>Лаг12!A22</f>
        <v>0.76854801988871413</v>
      </c>
    </row>
    <row r="14" spans="1:13" x14ac:dyDescent="0.3">
      <c r="A14" s="5">
        <v>13</v>
      </c>
      <c r="B14" s="5">
        <v>461</v>
      </c>
    </row>
    <row r="15" spans="1:13" x14ac:dyDescent="0.3">
      <c r="A15" s="5">
        <v>14</v>
      </c>
      <c r="B15" s="5">
        <v>454</v>
      </c>
    </row>
    <row r="16" spans="1:13" x14ac:dyDescent="0.3">
      <c r="A16" s="5">
        <v>15</v>
      </c>
      <c r="B16" s="5">
        <v>920</v>
      </c>
    </row>
    <row r="17" spans="1:2" x14ac:dyDescent="0.3">
      <c r="A17" s="5">
        <v>16</v>
      </c>
      <c r="B17" s="5">
        <f>927-375</f>
        <v>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Лаг1</vt:lpstr>
      <vt:lpstr>Лаг2</vt:lpstr>
      <vt:lpstr>Лаг3</vt:lpstr>
      <vt:lpstr>Лаг4</vt:lpstr>
      <vt:lpstr>Лаг5</vt:lpstr>
      <vt:lpstr>Лаг6</vt:lpstr>
      <vt:lpstr>Лаг7</vt:lpstr>
      <vt:lpstr>Лаг8</vt:lpstr>
      <vt:lpstr>Лаг9</vt:lpstr>
      <vt:lpstr>Лаг10</vt:lpstr>
      <vt:lpstr>Лаг11</vt:lpstr>
      <vt:lpstr>Лаг12</vt:lpstr>
      <vt:lpstr>Коррелограмма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Nadezhda Isaeva</dc:creator>
  <cp:lastModifiedBy>Nadezhda Isaeva</cp:lastModifiedBy>
  <dcterms:created xsi:type="dcterms:W3CDTF">2025-05-28T18:07:06Z</dcterms:created>
  <dcterms:modified xsi:type="dcterms:W3CDTF">2025-05-28T19:14:53Z</dcterms:modified>
</cp:coreProperties>
</file>